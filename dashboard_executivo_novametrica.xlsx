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e2d4427cde06074/Alura/Claude 2/"/>
    </mc:Choice>
  </mc:AlternateContent>
  <xr:revisionPtr revIDLastSave="757" documentId="8_{93049227-3258-449C-8CFD-C557560B5C8A}" xr6:coauthVersionLast="47" xr6:coauthVersionMax="47" xr10:uidLastSave="{9A7489FF-DEA8-4718-939B-77D005DB472A}"/>
  <bookViews>
    <workbookView xWindow="-120" yWindow="-120" windowWidth="29040" windowHeight="15720" tabRatio="500" xr2:uid="{00000000-000D-0000-FFFF-FFFF00000000}"/>
  </bookViews>
  <sheets>
    <sheet name="1. Resumo Executivo" sheetId="1" r:id="rId1"/>
    <sheet name="2. Vendas por Categoria" sheetId="2" r:id="rId2"/>
    <sheet name="3. Campanhas e Descontos" sheetId="3" r:id="rId3"/>
    <sheet name="4. Estoque em Atenção" sheetId="4" r:id="rId4"/>
    <sheet name="5. Premissas e Observaçõ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3" l="1"/>
  <c r="F11" i="3"/>
  <c r="D11" i="3"/>
  <c r="I13" i="2"/>
  <c r="H13" i="2"/>
  <c r="G13" i="2"/>
  <c r="E13" i="2"/>
  <c r="D13" i="2"/>
  <c r="H11" i="3" l="1"/>
  <c r="F13" i="2"/>
</calcChain>
</file>

<file path=xl/sharedStrings.xml><?xml version="1.0" encoding="utf-8"?>
<sst xmlns="http://schemas.openxmlformats.org/spreadsheetml/2006/main" count="253" uniqueCount="177">
  <si>
    <t>▌  INDICADORES PRINCIPAIS</t>
  </si>
  <si>
    <t>Desconto Médio</t>
  </si>
  <si>
    <t>📈 Categoria Líder</t>
  </si>
  <si>
    <t>💰 Melhor Margem</t>
  </si>
  <si>
    <t>NovaMétrica — Vendas por Categoria</t>
  </si>
  <si>
    <t>Período: janeiro a maio de 2026  |  724 pedidos analisados  |  Fonte: vendas_novametrica.csv</t>
  </si>
  <si>
    <t>Ranking</t>
  </si>
  <si>
    <t>Categoria</t>
  </si>
  <si>
    <t>Receita Líquida (R$)</t>
  </si>
  <si>
    <t>Margem Bruta (R$)</t>
  </si>
  <si>
    <t>Margem %</t>
  </si>
  <si>
    <t>Qtde Vendida</t>
  </si>
  <si>
    <t>Nº Pedidos</t>
  </si>
  <si>
    <t>#1</t>
  </si>
  <si>
    <t>Eletrônicos</t>
  </si>
  <si>
    <t>#2</t>
  </si>
  <si>
    <t>Casa</t>
  </si>
  <si>
    <t>#3</t>
  </si>
  <si>
    <t>Escritório</t>
  </si>
  <si>
    <t>#4</t>
  </si>
  <si>
    <t>Moda</t>
  </si>
  <si>
    <t>#5</t>
  </si>
  <si>
    <t>Esporte</t>
  </si>
  <si>
    <t>#6</t>
  </si>
  <si>
    <t>Pet</t>
  </si>
  <si>
    <t>#7</t>
  </si>
  <si>
    <t>Beleza</t>
  </si>
  <si>
    <t>TOTAL GERAL</t>
  </si>
  <si>
    <t>NovaMétrica — Campanhas e Descontos</t>
  </si>
  <si>
    <t>Análise de eficiência das ações promocionais  |  Alerta: desconto médio &gt; 12% sinaliza risco de margem</t>
  </si>
  <si>
    <t>Campanha</t>
  </si>
  <si>
    <t>Part. % Receita</t>
  </si>
  <si>
    <t>Investigar?</t>
  </si>
  <si>
    <t>Sem Campanha</t>
  </si>
  <si>
    <t>✅ OK</t>
  </si>
  <si>
    <t>Liquida Verão</t>
  </si>
  <si>
    <t>⚠️ SIM</t>
  </si>
  <si>
    <t>Frete Turbo</t>
  </si>
  <si>
    <t>Páscoa Digital</t>
  </si>
  <si>
    <t>Semana do Consumidor</t>
  </si>
  <si>
    <t>TOTAL / MÉDIAS</t>
  </si>
  <si>
    <t>100,0%</t>
  </si>
  <si>
    <t>Critério de alerta: Desconto Médio &gt; 12%  |  Margem Saudável: ≥ 42%  |  Margem em Atenção: 35–42%  |  Margem em Risco: &lt; 35%</t>
  </si>
  <si>
    <t>NovaMétrica — Estoque em Atenção</t>
  </si>
  <si>
    <t>Critérios: Ruptura = Disp. &lt; Mínimo  |  Excesso = Atual &gt; 2,8× Mínimo  |  Atenção Giro = Dias sem venda &gt; 20  |  Fonte: estoque_novametrica.xlsx</t>
  </si>
  <si>
    <t>🔴  RISCO DE RUPTURA — Estoque disponível abaixo do mínimo operacional</t>
  </si>
  <si>
    <t>SKU</t>
  </si>
  <si>
    <t>Produto</t>
  </si>
  <si>
    <t>Estq. Atual</t>
  </si>
  <si>
    <t>Estq. Reservado</t>
  </si>
  <si>
    <t>Estq. Disponível</t>
  </si>
  <si>
    <t>Estq. Mínimo</t>
  </si>
  <si>
    <t>GAP</t>
  </si>
  <si>
    <t>Giro 30d</t>
  </si>
  <si>
    <t>Dias s/ Venda</t>
  </si>
  <si>
    <t>Capital R$</t>
  </si>
  <si>
    <t>Prioridade</t>
  </si>
  <si>
    <t>CA-001</t>
  </si>
  <si>
    <t>Cafeteira Aroma</t>
  </si>
  <si>
    <t>🔴 URGENTE</t>
  </si>
  <si>
    <t>MO-002</t>
  </si>
  <si>
    <t>Jaqueta Corta-Vento</t>
  </si>
  <si>
    <t>EL-001</t>
  </si>
  <si>
    <t>Smartwatch Move</t>
  </si>
  <si>
    <t>CA-003</t>
  </si>
  <si>
    <t>Aspirador Compact</t>
  </si>
  <si>
    <t>🟡  EXCESSO DE ESTOQUE — Estoque atual acima de 2,8× o mínimo</t>
  </si>
  <si>
    <t>ES-001</t>
  </si>
  <si>
    <t>Cadeira Flex</t>
  </si>
  <si>
    <t>🟡 REVISAR</t>
  </si>
  <si>
    <t>PT-002</t>
  </si>
  <si>
    <t>Cama PetCloud</t>
  </si>
  <si>
    <t>🟠 REDUZIR</t>
  </si>
  <si>
    <t>SP-002</t>
  </si>
  <si>
    <t>Tapete Yoga Move</t>
  </si>
  <si>
    <t>✅  ESTOQUE SAUDÁVEL — Posição dentro dos parâmetros operacionais</t>
  </si>
  <si>
    <t>CA-002</t>
  </si>
  <si>
    <t>Liquidificador Blend</t>
  </si>
  <si>
    <t>EL-002</t>
  </si>
  <si>
    <t>Fone Pulse</t>
  </si>
  <si>
    <t>EL-004</t>
  </si>
  <si>
    <t>Webcam Pro</t>
  </si>
  <si>
    <t>MO-001</t>
  </si>
  <si>
    <t>Mochila Urban</t>
  </si>
  <si>
    <t>MO-003</t>
  </si>
  <si>
    <t>Tênis Casual City</t>
  </si>
  <si>
    <t>PT-001</t>
  </si>
  <si>
    <t>Fonte PetFlow</t>
  </si>
  <si>
    <t>ES-002</t>
  </si>
  <si>
    <t>Luminária Desk</t>
  </si>
  <si>
    <t>BE-002</t>
  </si>
  <si>
    <t>Kit Skincare Glow</t>
  </si>
  <si>
    <t>EL-003</t>
  </si>
  <si>
    <t>Caixa de Som Orbit</t>
  </si>
  <si>
    <t>SP-003</t>
  </si>
  <si>
    <t>Halter Ajustável</t>
  </si>
  <si>
    <t>ES-003</t>
  </si>
  <si>
    <t>Teclado Silent</t>
  </si>
  <si>
    <t>BE-001</t>
  </si>
  <si>
    <t>Secador Air</t>
  </si>
  <si>
    <t>SP-001</t>
  </si>
  <si>
    <t>Garrafa Térmica Pro</t>
  </si>
  <si>
    <t>NovaMétrica — Premissas, Fontes e Observações</t>
  </si>
  <si>
    <t>▌  FONTES UTILIZADAS</t>
  </si>
  <si>
    <t>Item</t>
  </si>
  <si>
    <t>Descrição</t>
  </si>
  <si>
    <t>vendas_novametrica.csv</t>
  </si>
  <si>
    <t>724 registros de vendas. Colunas: ID_Venda, Data_Venda, Canal, Regiao, SKU, Categoria, Campanha, Precos, Margens, Status_Pedido, Devolvido, Avaliacao_Cliente.</t>
  </si>
  <si>
    <t>estoque_novametrica.xlsx</t>
  </si>
  <si>
    <t>20 SKUs com posição de estoque, giro e status. Planilha 'Estoque_Atual' + 'Metas_Estoque' com critérios operacionais.</t>
  </si>
  <si>
    <t>briefing_diretoria_novametrica.pdf</t>
  </si>
  <si>
    <t>Material estratégico com perguntas orientadoras e critérios de sucesso do projeto.</t>
  </si>
  <si>
    <t>▌  CRITÉRIOS ADOTADOS</t>
  </si>
  <si>
    <t>Ruptura de estoque</t>
  </si>
  <si>
    <t>Estoque disponível &lt; Estoque mínimo (conforme definição da planilha Metas_Estoque).</t>
  </si>
  <si>
    <t>Excesso de estoque</t>
  </si>
  <si>
    <t>Estoque atual &gt; 2,8× o estoque mínimo (conforme definição da planilha Metas_Estoque).</t>
  </si>
  <si>
    <t>Atenção ao giro</t>
  </si>
  <si>
    <t>Dias sem venda &gt; 20 dias (conforme definição da planilha Metas_Estoque).</t>
  </si>
  <si>
    <t>Campanha em investigação</t>
  </si>
  <si>
    <t>Desconto médio superior a 12% (limiar analítico sugerido — não há política formal documentada nos arquivos).</t>
  </si>
  <si>
    <t>Margem saudável</t>
  </si>
  <si>
    <t>Margem bruta % ≥ 42%. Referência derivada do comportamento dos dados, não de benchmark externo.</t>
  </si>
  <si>
    <t>▌  LIMITAÇÕES E PONTOS DE VALIDAÇÃO</t>
  </si>
  <si>
    <t>Ausência de política comercial formal</t>
  </si>
  <si>
    <t>O arquivo de vendas não contém uma coluna de 'Desconto Máximo Autorizado'. Análise de desconto baseada em média observada.</t>
  </si>
  <si>
    <t>IDs duplicados</t>
  </si>
  <si>
    <t>O campo ID_Venda possui ao menos 1 duplicata (NV-00101 aparece 2x). Recomenda-se investigar antes de usar como chave primária.</t>
  </si>
  <si>
    <t>Campanha nula</t>
  </si>
  <si>
    <t>5 registros com campo 'Campanha' em branco (NaN). Tratados como 'Sem Campanha' para os cálculos.</t>
  </si>
  <si>
    <t>Avaliação do cliente</t>
  </si>
  <si>
    <t>118 registros (16%) sem avaliação do cliente. NPS e CSAT devem ser calculados somente sobre registros válidos.</t>
  </si>
  <si>
    <t>Prazo de entrega</t>
  </si>
  <si>
    <t>30 registros sem prazo de entrega informado. Análise de correlação com devolução fica parcialmente comprometida.</t>
  </si>
  <si>
    <t>Período dos dados</t>
  </si>
  <si>
    <t>Dados cobrem jan–mai 2026. Sazonalidade completa (12 meses) não disponível para análises de tendência.</t>
  </si>
  <si>
    <t>▌  PRÓXIMOS PASSOS RECOMENDADOS</t>
  </si>
  <si>
    <t>Aula 3</t>
  </si>
  <si>
    <t>Conectar a base de vendas ao Google Drive / Slack para automação de atualização.</t>
  </si>
  <si>
    <t>Aula 4</t>
  </si>
  <si>
    <t>Criar um Project no Claude com contexto fixo da NovaMétrica para acelerar análises futuras.</t>
  </si>
  <si>
    <t>Aula 5</t>
  </si>
  <si>
    <t>Desenvolver Artifact interativo com KPIs filtráveis por período e categoria.</t>
  </si>
  <si>
    <t>Aula 6</t>
  </si>
  <si>
    <t>Enriquecer o diagnóstico com benchmarks de mercado via web search.</t>
  </si>
  <si>
    <t>Gerado com Claude Sonnet (Anthropic) — Projeto NovaMétrica — 17/05/2026</t>
  </si>
  <si>
    <t>NovaMétrica — Painel Analítico | Resumo Executivo</t>
  </si>
  <si>
    <t>Período: jan–mai 2026  |  724 pedidos  |  Fontes: vendas_novametrica.csv + estoque_novametrica.xlsx</t>
  </si>
  <si>
    <t>MENSAGEM-CHAVE  →  Receita sólida (R$ 374,6 mil) com margem de 42,9%, porém pressionada por campanhas de baixa eficiência e rupturas em SKUs estratégicos.</t>
  </si>
  <si>
    <t>RECEITA LÍQUIDA</t>
  </si>
  <si>
    <t>MARGEM BRUTA</t>
  </si>
  <si>
    <t>TICKET MÉDIO</t>
  </si>
  <si>
    <t>PEDIDOS TOTAIS</t>
  </si>
  <si>
    <t>DESCONTO MÉDIO</t>
  </si>
  <si>
    <t>R$ 374.588</t>
  </si>
  <si>
    <t>42,9%</t>
  </si>
  <si>
    <t>R$ 517</t>
  </si>
  <si>
    <t>6,3%</t>
  </si>
  <si>
    <t>Receita total no período</t>
  </si>
  <si>
    <t>R$ 160.831 em margem</t>
  </si>
  <si>
    <t>Por pedido</t>
  </si>
  <si>
    <t>632 entregues (87%)</t>
  </si>
  <si>
    <t>Máx. registrado: 42%</t>
  </si>
  <si>
    <t>▌  DESTAQUES ESTRATÉGICOS</t>
  </si>
  <si>
    <t>Eletrônicos: R$ 102,6 mil (27% da receita) — motor principal do faturamento.</t>
  </si>
  <si>
    <t>Beleza (48,1%) e Moda (47,7%) lideram em rentabilidade — potencial de expansão.</t>
  </si>
  <si>
    <t>🎯 Mix Comercial</t>
  </si>
  <si>
    <t>77% da receita vem de vendas orgânicas (sem campanha) — marca com tração própria.</t>
  </si>
  <si>
    <t>⭐ Satisfação</t>
  </si>
  <si>
    <t>Avaliação média 4,0/5,0  |  57 pedidos cancelados ou devolvidos (7,9% do total).</t>
  </si>
  <si>
    <t>▌  PRINCIPAIS ALERTAS</t>
  </si>
  <si>
    <t>🔴 RUPTURA CRÍTICA DE ESTOQUE</t>
  </si>
  <si>
    <t>🔴 CAMPANHAS COM MARGEM EM RISCO</t>
  </si>
  <si>
    <t>🟡 CAPITAL IMOBILIZADO EM EXCESSO</t>
  </si>
  <si>
    <t>4 SKUs de alto giro abaixo do mínimo (Smartwatch Move, Jaqueta Corta-Vento, Cafeteira Aroma, Aspirador Compact). Risco imediato de perda de vendas em Eletrônicos e Moda.   ➜  Ação: reposição emergencial.</t>
  </si>
  <si>
    <t>Semana do Consumidor' opera com desconto médio de 17,9% e margem de 34,9% (abaixo do piso de 35%). 'Liquida Verão' também sinaliza atenção (desconto 13%).   ➜  Ação: revisar política comercial.</t>
  </si>
  <si>
    <t>3 SKUs com estoque acima de 2,8× o mínimo, totalizando R$ 27,9 mil parados (Cadeira Flex, Cama PetCloud, Tapete Yoga). Cama PetCloud e Tapete Yoga: 26–28 dias sem venda.   ➜  Ação: liquidação direcionada.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</si>
</sst>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"/>
    <numFmt numFmtId="165" formatCode="0.0%"/>
    <numFmt numFmtId="166" formatCode="0.0"/>
    <numFmt numFmtId="167" formatCode="\+#,##0;\-#,##0;\-"/>
  </numFmts>
  <fonts count="38" x14ac:knownFonts="1">
    <font>
      <sz val="11"/>
      <color theme="1"/>
      <name val="Calibri"/>
      <family val="2"/>
      <charset val="1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b/>
      <sz val="9"/>
      <color rgb="FF7F6000"/>
      <name val="Arial"/>
      <family val="2"/>
    </font>
    <font>
      <sz val="9"/>
      <color rgb="FF404040"/>
      <name val="Arial"/>
      <family val="2"/>
    </font>
    <font>
      <sz val="9"/>
      <color rgb="FF375623"/>
      <name val="Arial"/>
      <family val="2"/>
    </font>
    <font>
      <sz val="9"/>
      <color rgb="FF9C0006"/>
      <name val="Arial"/>
      <family val="2"/>
    </font>
    <font>
      <sz val="9"/>
      <color rgb="FF7F6000"/>
      <name val="Arial"/>
      <family val="2"/>
    </font>
    <font>
      <sz val="9"/>
      <name val="Arial"/>
      <family val="2"/>
    </font>
    <font>
      <b/>
      <sz val="11"/>
      <color rgb="FF9C0006"/>
      <name val="Arial"/>
      <family val="2"/>
    </font>
    <font>
      <b/>
      <sz val="9"/>
      <color rgb="FF9C0006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375623"/>
      <name val="Arial"/>
      <family val="2"/>
    </font>
    <font>
      <b/>
      <sz val="10"/>
      <color rgb="FF375623"/>
      <name val="Arial"/>
      <family val="2"/>
    </font>
    <font>
      <b/>
      <sz val="10"/>
      <color rgb="FF9C0006"/>
      <name val="Arial"/>
      <family val="2"/>
    </font>
    <font>
      <b/>
      <sz val="10"/>
      <color rgb="FF7F6000"/>
      <name val="Arial"/>
      <family val="2"/>
    </font>
    <font>
      <i/>
      <sz val="9"/>
      <color rgb="FF404040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i/>
      <sz val="8"/>
      <color rgb="FF595959"/>
      <name val="Arial"/>
      <family val="2"/>
    </font>
    <font>
      <b/>
      <sz val="18"/>
      <color rgb="FFFFFFFF"/>
      <name val="Arial"/>
      <family val="2"/>
    </font>
    <font>
      <i/>
      <sz val="10"/>
      <color rgb="FF595959"/>
      <name val="Arial"/>
      <family val="2"/>
    </font>
    <font>
      <b/>
      <sz val="12"/>
      <color rgb="FF1F3864"/>
      <name val="Arial"/>
      <family val="2"/>
    </font>
    <font>
      <b/>
      <sz val="20"/>
      <color rgb="FF1F3864"/>
      <name val="Arial"/>
      <family val="2"/>
    </font>
    <font>
      <b/>
      <sz val="20"/>
      <color rgb="FF375623"/>
      <name val="Arial"/>
      <family val="2"/>
    </font>
    <font>
      <b/>
      <sz val="20"/>
      <color rgb="FF7F6000"/>
      <name val="Arial"/>
      <family val="2"/>
    </font>
    <font>
      <b/>
      <sz val="20"/>
      <color rgb="FF404040"/>
      <name val="Arial"/>
      <family val="2"/>
    </font>
    <font>
      <b/>
      <sz val="20"/>
      <color rgb="FF9C0006"/>
      <name val="Arial"/>
      <family val="2"/>
    </font>
    <font>
      <sz val="9"/>
      <color rgb="FF1F3864"/>
      <name val="Arial"/>
      <family val="2"/>
    </font>
    <font>
      <b/>
      <sz val="10"/>
      <color rgb="FF1F3864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b/>
      <sz val="12"/>
      <color rgb="FF9C0006"/>
      <name val="Arial"/>
      <family val="2"/>
    </font>
    <font>
      <b/>
      <sz val="11"/>
      <color rgb="FF7F6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F9F9F9"/>
      </patternFill>
    </fill>
    <fill>
      <patternFill patternType="solid">
        <fgColor rgb="FFD6E4F7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2F5597"/>
        <bgColor rgb="FF1F3864"/>
      </patternFill>
    </fill>
    <fill>
      <patternFill patternType="solid">
        <fgColor rgb="FFFFFFFF"/>
        <bgColor rgb="FFF9F9F9"/>
      </patternFill>
    </fill>
    <fill>
      <patternFill patternType="solid">
        <fgColor rgb="FFC00000"/>
        <bgColor rgb="FF9C0006"/>
      </patternFill>
    </fill>
    <fill>
      <patternFill patternType="solid">
        <fgColor rgb="FFBF8F00"/>
        <bgColor rgb="FFFF6600"/>
      </patternFill>
    </fill>
    <fill>
      <patternFill patternType="solid">
        <fgColor rgb="FF375623"/>
        <bgColor rgb="FF404040"/>
      </patternFill>
    </fill>
    <fill>
      <patternFill patternType="solid">
        <fgColor rgb="FF404040"/>
        <bgColor rgb="FF375623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rgb="FF2F5597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04040"/>
      </left>
      <right/>
      <top style="medium">
        <color rgb="FF404040"/>
      </top>
      <bottom style="medium">
        <color rgb="FF404040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375623"/>
      </bottom>
      <diagonal/>
    </border>
    <border>
      <left style="medium">
        <color rgb="FF375623"/>
      </left>
      <right/>
      <top/>
      <bottom/>
      <diagonal/>
    </border>
    <border>
      <left style="medium">
        <color rgb="FF375623"/>
      </left>
      <right/>
      <top/>
      <bottom style="medium">
        <color rgb="FF375623"/>
      </bottom>
      <diagonal/>
    </border>
    <border>
      <left/>
      <right/>
      <top/>
      <bottom style="medium">
        <color rgb="FF7F6000"/>
      </bottom>
      <diagonal/>
    </border>
    <border>
      <left style="medium">
        <color rgb="FF7F6000"/>
      </left>
      <right/>
      <top/>
      <bottom/>
      <diagonal/>
    </border>
    <border>
      <left style="medium">
        <color rgb="FF7F6000"/>
      </left>
      <right/>
      <top/>
      <bottom style="medium">
        <color rgb="FF7F6000"/>
      </bottom>
      <diagonal/>
    </border>
    <border>
      <left/>
      <right/>
      <top/>
      <bottom style="medium">
        <color rgb="FF404040"/>
      </bottom>
      <diagonal/>
    </border>
    <border>
      <left style="medium">
        <color rgb="FF404040"/>
      </left>
      <right/>
      <top/>
      <bottom/>
      <diagonal/>
    </border>
    <border>
      <left style="medium">
        <color rgb="FF404040"/>
      </left>
      <right/>
      <top/>
      <bottom style="medium">
        <color rgb="FF404040"/>
      </bottom>
      <diagonal/>
    </border>
    <border>
      <left style="medium">
        <color rgb="FF9C0006"/>
      </left>
      <right/>
      <top/>
      <bottom/>
      <diagonal/>
    </border>
    <border>
      <left style="medium">
        <color rgb="FF9C0006"/>
      </left>
      <right/>
      <top/>
      <bottom style="medium">
        <color rgb="FF9C0006"/>
      </bottom>
      <diagonal/>
    </border>
    <border>
      <left/>
      <right style="medium">
        <color rgb="FF9C0006"/>
      </right>
      <top/>
      <bottom/>
      <diagonal/>
    </border>
    <border>
      <left/>
      <right style="medium">
        <color rgb="FF9C0006"/>
      </right>
      <top/>
      <bottom style="medium">
        <color rgb="FF9C0006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ck">
        <color rgb="FF375623"/>
      </left>
      <right/>
      <top style="thin">
        <color rgb="FFBFBFBF"/>
      </top>
      <bottom/>
      <diagonal/>
    </border>
    <border>
      <left style="thick">
        <color rgb="FF7F6000"/>
      </left>
      <right/>
      <top style="thin">
        <color rgb="FFBFBFBF"/>
      </top>
      <bottom style="thin">
        <color rgb="FFBFBFBF"/>
      </bottom>
      <diagonal/>
    </border>
    <border>
      <left style="thick">
        <color rgb="FF7F6000"/>
      </left>
      <right/>
      <top style="thin">
        <color rgb="FFBFBFBF"/>
      </top>
      <bottom/>
      <diagonal/>
    </border>
    <border>
      <left style="thick">
        <color rgb="FF404040"/>
      </left>
      <right/>
      <top style="thin">
        <color rgb="FFBFBFBF"/>
      </top>
      <bottom style="thin">
        <color rgb="FFBFBFBF"/>
      </bottom>
      <diagonal/>
    </border>
    <border>
      <left style="thick">
        <color rgb="FF9C0006"/>
      </left>
      <right/>
      <top style="thin">
        <color rgb="FFBFBFBF"/>
      </top>
      <bottom/>
      <diagonal/>
    </border>
    <border>
      <left style="thick">
        <color rgb="FF1F3864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2" fillId="8" borderId="3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/>
    </xf>
    <xf numFmtId="164" fontId="13" fillId="6" borderId="3" xfId="0" applyNumberFormat="1" applyFont="1" applyFill="1" applyBorder="1" applyAlignment="1">
      <alignment horizontal="center" vertical="center"/>
    </xf>
    <xf numFmtId="164" fontId="14" fillId="6" borderId="3" xfId="0" applyNumberFormat="1" applyFont="1" applyFill="1" applyBorder="1" applyAlignment="1">
      <alignment horizontal="center" vertical="center"/>
    </xf>
    <xf numFmtId="165" fontId="14" fillId="6" borderId="3" xfId="0" applyNumberFormat="1" applyFont="1" applyFill="1" applyBorder="1" applyAlignment="1">
      <alignment horizontal="center" vertical="center"/>
    </xf>
    <xf numFmtId="3" fontId="14" fillId="6" borderId="3" xfId="0" applyNumberFormat="1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164" fontId="13" fillId="3" borderId="3" xfId="0" applyNumberFormat="1" applyFont="1" applyFill="1" applyBorder="1" applyAlignment="1">
      <alignment horizontal="center" vertical="center"/>
    </xf>
    <xf numFmtId="164" fontId="14" fillId="3" borderId="3" xfId="0" applyNumberFormat="1" applyFont="1" applyFill="1" applyBorder="1" applyAlignment="1">
      <alignment horizontal="center" vertical="center"/>
    </xf>
    <xf numFmtId="165" fontId="14" fillId="3" borderId="3" xfId="0" applyNumberFormat="1" applyFont="1" applyFill="1" applyBorder="1" applyAlignment="1">
      <alignment horizontal="center" vertical="center"/>
    </xf>
    <xf numFmtId="3" fontId="14" fillId="3" borderId="3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165" fontId="15" fillId="3" borderId="3" xfId="0" applyNumberFormat="1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164" fontId="14" fillId="9" borderId="3" xfId="0" applyNumberFormat="1" applyFont="1" applyFill="1" applyBorder="1" applyAlignment="1">
      <alignment horizontal="center" vertical="center"/>
    </xf>
    <xf numFmtId="165" fontId="15" fillId="9" borderId="3" xfId="0" applyNumberFormat="1" applyFont="1" applyFill="1" applyBorder="1" applyAlignment="1">
      <alignment horizontal="center" vertical="center"/>
    </xf>
    <xf numFmtId="3" fontId="14" fillId="9" borderId="3" xfId="0" applyNumberFormat="1" applyFont="1" applyFill="1" applyBorder="1" applyAlignment="1">
      <alignment horizontal="center" vertical="center"/>
    </xf>
    <xf numFmtId="165" fontId="14" fillId="9" borderId="3" xfId="0" applyNumberFormat="1" applyFont="1" applyFill="1" applyBorder="1" applyAlignment="1">
      <alignment horizontal="center" vertical="center"/>
    </xf>
    <xf numFmtId="164" fontId="13" fillId="4" borderId="3" xfId="0" applyNumberFormat="1" applyFont="1" applyFill="1" applyBorder="1" applyAlignment="1">
      <alignment horizontal="center" vertical="center"/>
    </xf>
    <xf numFmtId="165" fontId="13" fillId="4" borderId="3" xfId="0" applyNumberFormat="1" applyFont="1" applyFill="1" applyBorder="1" applyAlignment="1">
      <alignment horizontal="center" vertical="center"/>
    </xf>
    <xf numFmtId="3" fontId="13" fillId="4" borderId="3" xfId="0" applyNumberFormat="1" applyFont="1" applyFill="1" applyBorder="1" applyAlignment="1">
      <alignment horizontal="center" vertical="center"/>
    </xf>
    <xf numFmtId="164" fontId="13" fillId="9" borderId="3" xfId="0" applyNumberFormat="1" applyFont="1" applyFill="1" applyBorder="1" applyAlignment="1">
      <alignment horizontal="center" vertical="center"/>
    </xf>
    <xf numFmtId="165" fontId="16" fillId="5" borderId="3" xfId="0" applyNumberFormat="1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3" fontId="14" fillId="7" borderId="3" xfId="0" applyNumberFormat="1" applyFont="1" applyFill="1" applyBorder="1" applyAlignment="1">
      <alignment horizontal="center" vertical="center"/>
    </xf>
    <xf numFmtId="164" fontId="13" fillId="7" borderId="3" xfId="0" applyNumberFormat="1" applyFont="1" applyFill="1" applyBorder="1" applyAlignment="1">
      <alignment horizontal="center" vertical="center"/>
    </xf>
    <xf numFmtId="165" fontId="14" fillId="7" borderId="3" xfId="0" applyNumberFormat="1" applyFont="1" applyFill="1" applyBorder="1" applyAlignment="1">
      <alignment horizontal="center" vertical="center"/>
    </xf>
    <xf numFmtId="165" fontId="17" fillId="7" borderId="3" xfId="0" applyNumberFormat="1" applyFont="1" applyFill="1" applyBorder="1" applyAlignment="1">
      <alignment horizontal="center" vertical="center"/>
    </xf>
    <xf numFmtId="164" fontId="14" fillId="7" borderId="3" xfId="0" applyNumberFormat="1" applyFont="1" applyFill="1" applyBorder="1" applyAlignment="1">
      <alignment horizontal="center" vertical="center"/>
    </xf>
    <xf numFmtId="165" fontId="18" fillId="6" borderId="3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3" fontId="6" fillId="7" borderId="3" xfId="0" applyNumberFormat="1" applyFont="1" applyFill="1" applyBorder="1" applyAlignment="1">
      <alignment horizontal="center" vertical="center"/>
    </xf>
    <xf numFmtId="166" fontId="6" fillId="7" borderId="3" xfId="0" applyNumberFormat="1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167" fontId="7" fillId="6" borderId="3" xfId="0" applyNumberFormat="1" applyFont="1" applyFill="1" applyBorder="1" applyAlignment="1">
      <alignment horizontal="center" vertical="center"/>
    </xf>
    <xf numFmtId="166" fontId="7" fillId="6" borderId="3" xfId="0" applyNumberFormat="1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/>
    </xf>
    <xf numFmtId="3" fontId="20" fillId="9" borderId="3" xfId="0" applyNumberFormat="1" applyFont="1" applyFill="1" applyBorder="1" applyAlignment="1">
      <alignment horizontal="center" vertical="center"/>
    </xf>
    <xf numFmtId="167" fontId="20" fillId="9" borderId="3" xfId="0" applyNumberFormat="1" applyFont="1" applyFill="1" applyBorder="1" applyAlignment="1">
      <alignment horizontal="center" vertical="center"/>
    </xf>
    <xf numFmtId="166" fontId="20" fillId="9" borderId="3" xfId="0" applyNumberFormat="1" applyFont="1" applyFill="1" applyBorder="1" applyAlignment="1">
      <alignment horizontal="center" vertical="center"/>
    </xf>
    <xf numFmtId="164" fontId="20" fillId="9" borderId="3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3" fontId="20" fillId="5" borderId="3" xfId="0" applyNumberFormat="1" applyFont="1" applyFill="1" applyBorder="1" applyAlignment="1">
      <alignment horizontal="center" vertical="center"/>
    </xf>
    <xf numFmtId="167" fontId="20" fillId="5" borderId="3" xfId="0" applyNumberFormat="1" applyFont="1" applyFill="1" applyBorder="1" applyAlignment="1">
      <alignment horizontal="center" vertical="center"/>
    </xf>
    <xf numFmtId="166" fontId="20" fillId="5" borderId="3" xfId="0" applyNumberFormat="1" applyFont="1" applyFill="1" applyBorder="1" applyAlignment="1">
      <alignment horizontal="center" vertical="center"/>
    </xf>
    <xf numFmtId="164" fontId="20" fillId="5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left" vertical="center" wrapText="1" indent="1"/>
    </xf>
    <xf numFmtId="0" fontId="22" fillId="9" borderId="3" xfId="0" applyFont="1" applyFill="1" applyBorder="1" applyAlignment="1">
      <alignment horizontal="left" vertical="center" wrapText="1" indent="1"/>
    </xf>
    <xf numFmtId="0" fontId="11" fillId="2" borderId="0" xfId="0" applyFont="1" applyFill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2" fillId="10" borderId="0" xfId="0" applyFont="1" applyFill="1" applyAlignment="1">
      <alignment horizontal="left" vertical="center" indent="1"/>
    </xf>
    <xf numFmtId="0" fontId="12" fillId="11" borderId="0" xfId="0" applyFont="1" applyFill="1" applyAlignment="1">
      <alignment horizontal="left" vertical="center" indent="1"/>
    </xf>
    <xf numFmtId="0" fontId="12" fillId="12" borderId="0" xfId="0" applyFont="1" applyFill="1" applyAlignment="1">
      <alignment horizontal="left" vertical="center" indent="1"/>
    </xf>
    <xf numFmtId="0" fontId="21" fillId="8" borderId="0" xfId="0" applyFont="1" applyFill="1" applyAlignment="1">
      <alignment horizontal="left" vertical="center" indent="1"/>
    </xf>
    <xf numFmtId="0" fontId="12" fillId="1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 indent="1"/>
    </xf>
    <xf numFmtId="0" fontId="8" fillId="9" borderId="2" xfId="0" applyFont="1" applyFill="1" applyBorder="1" applyAlignment="1">
      <alignment horizontal="left" vertical="center" wrapText="1" indent="1"/>
    </xf>
    <xf numFmtId="0" fontId="21" fillId="10" borderId="0" xfId="0" applyFont="1" applyFill="1" applyAlignment="1">
      <alignment horizontal="left" vertical="center" indent="1"/>
    </xf>
    <xf numFmtId="0" fontId="21" fillId="12" borderId="0" xfId="0" applyFont="1" applyFill="1" applyAlignment="1">
      <alignment horizontal="left" vertical="center" indent="1"/>
    </xf>
    <xf numFmtId="0" fontId="23" fillId="0" borderId="0" xfId="0" applyFont="1" applyAlignment="1">
      <alignment horizontal="center"/>
    </xf>
    <xf numFmtId="0" fontId="2" fillId="16" borderId="0" xfId="0" applyFont="1" applyFill="1" applyAlignment="1">
      <alignment horizontal="left" vertical="center" wrapText="1"/>
    </xf>
    <xf numFmtId="0" fontId="24" fillId="14" borderId="0" xfId="0" applyFont="1" applyFill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27" fillId="16" borderId="0" xfId="0" applyFont="1" applyFill="1" applyBorder="1" applyAlignment="1">
      <alignment horizontal="center" vertical="center"/>
    </xf>
    <xf numFmtId="0" fontId="32" fillId="16" borderId="5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32" fillId="16" borderId="7" xfId="0" applyFont="1" applyFill="1" applyBorder="1" applyAlignment="1">
      <alignment horizontal="center" vertical="center"/>
    </xf>
    <xf numFmtId="0" fontId="28" fillId="21" borderId="0" xfId="0" applyFont="1" applyFill="1" applyBorder="1" applyAlignment="1">
      <alignment horizontal="center" vertical="center"/>
    </xf>
    <xf numFmtId="0" fontId="5" fillId="21" borderId="8" xfId="0" applyFont="1" applyFill="1" applyBorder="1" applyAlignment="1">
      <alignment horizontal="center" vertical="center"/>
    </xf>
    <xf numFmtId="0" fontId="28" fillId="21" borderId="9" xfId="0" applyFont="1" applyFill="1" applyBorder="1" applyAlignment="1">
      <alignment horizontal="center" vertical="center"/>
    </xf>
    <xf numFmtId="0" fontId="5" fillId="21" borderId="10" xfId="0" applyFont="1" applyFill="1" applyBorder="1" applyAlignment="1">
      <alignment horizontal="center" vertical="center"/>
    </xf>
    <xf numFmtId="0" fontId="29" fillId="22" borderId="0" xfId="0" applyFont="1" applyFill="1" applyBorder="1" applyAlignment="1">
      <alignment horizontal="center" vertical="center"/>
    </xf>
    <xf numFmtId="0" fontId="7" fillId="22" borderId="11" xfId="0" applyFont="1" applyFill="1" applyBorder="1" applyAlignment="1">
      <alignment horizontal="center" vertical="center"/>
    </xf>
    <xf numFmtId="0" fontId="29" fillId="22" borderId="12" xfId="0" applyFont="1" applyFill="1" applyBorder="1" applyAlignment="1">
      <alignment horizontal="center" vertical="center"/>
    </xf>
    <xf numFmtId="0" fontId="7" fillId="22" borderId="13" xfId="0" applyFont="1" applyFill="1" applyBorder="1" applyAlignment="1">
      <alignment horizontal="center" vertical="center"/>
    </xf>
    <xf numFmtId="0" fontId="30" fillId="15" borderId="0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30" fillId="15" borderId="15" xfId="0" applyFont="1" applyFill="1" applyBorder="1" applyAlignment="1">
      <alignment horizontal="center" vertical="center"/>
    </xf>
    <xf numFmtId="0" fontId="4" fillId="15" borderId="16" xfId="0" applyFont="1" applyFill="1" applyBorder="1" applyAlignment="1">
      <alignment horizontal="center" vertical="center"/>
    </xf>
    <xf numFmtId="0" fontId="31" fillId="23" borderId="17" xfId="0" applyFont="1" applyFill="1" applyBorder="1" applyAlignment="1">
      <alignment horizontal="center" vertical="center"/>
    </xf>
    <xf numFmtId="0" fontId="6" fillId="23" borderId="18" xfId="0" applyFont="1" applyFill="1" applyBorder="1" applyAlignment="1">
      <alignment horizontal="center" vertical="center"/>
    </xf>
    <xf numFmtId="0" fontId="31" fillId="23" borderId="19" xfId="0" applyFont="1" applyFill="1" applyBorder="1" applyAlignment="1">
      <alignment horizontal="center" vertical="center"/>
    </xf>
    <xf numFmtId="0" fontId="6" fillId="23" borderId="20" xfId="0" applyFont="1" applyFill="1" applyBorder="1" applyAlignment="1">
      <alignment horizontal="center" vertical="center"/>
    </xf>
    <xf numFmtId="0" fontId="0" fillId="21" borderId="21" xfId="0" applyFill="1" applyBorder="1" applyAlignment="1">
      <alignment vertical="center" wrapText="1"/>
    </xf>
    <xf numFmtId="0" fontId="14" fillId="21" borderId="21" xfId="0" applyFont="1" applyFill="1" applyBorder="1" applyAlignment="1">
      <alignment horizontal="left" vertical="center" wrapText="1"/>
    </xf>
    <xf numFmtId="0" fontId="16" fillId="21" borderId="25" xfId="0" applyFont="1" applyFill="1" applyBorder="1" applyAlignment="1">
      <alignment horizontal="center" vertical="center" wrapText="1"/>
    </xf>
    <xf numFmtId="0" fontId="14" fillId="21" borderId="24" xfId="0" applyFont="1" applyFill="1" applyBorder="1" applyAlignment="1">
      <alignment horizontal="left" vertical="center" wrapText="1"/>
    </xf>
    <xf numFmtId="0" fontId="0" fillId="22" borderId="21" xfId="0" applyFill="1" applyBorder="1" applyAlignment="1">
      <alignment vertical="center" wrapText="1"/>
    </xf>
    <xf numFmtId="0" fontId="14" fillId="22" borderId="21" xfId="0" applyFont="1" applyFill="1" applyBorder="1" applyAlignment="1">
      <alignment horizontal="left" vertical="center" wrapText="1"/>
    </xf>
    <xf numFmtId="0" fontId="18" fillId="22" borderId="27" xfId="0" applyFont="1" applyFill="1" applyBorder="1" applyAlignment="1">
      <alignment horizontal="center" vertical="center" wrapText="1"/>
    </xf>
    <xf numFmtId="0" fontId="14" fillId="22" borderId="24" xfId="0" applyFont="1" applyFill="1" applyBorder="1" applyAlignment="1">
      <alignment horizontal="left" vertical="center" wrapText="1"/>
    </xf>
    <xf numFmtId="0" fontId="0" fillId="15" borderId="22" xfId="0" applyFill="1" applyBorder="1" applyAlignment="1">
      <alignment vertical="center" wrapText="1"/>
    </xf>
    <xf numFmtId="0" fontId="14" fillId="15" borderId="22" xfId="0" applyFont="1" applyFill="1" applyBorder="1" applyAlignment="1">
      <alignment horizontal="left" vertical="center" wrapText="1"/>
    </xf>
    <xf numFmtId="0" fontId="14" fillId="15" borderId="23" xfId="0" applyFont="1" applyFill="1" applyBorder="1" applyAlignment="1">
      <alignment horizontal="left" vertical="center" wrapText="1"/>
    </xf>
    <xf numFmtId="0" fontId="35" fillId="15" borderId="28" xfId="0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center" vertical="center"/>
    </xf>
    <xf numFmtId="0" fontId="12" fillId="14" borderId="0" xfId="0" applyFont="1" applyFill="1" applyBorder="1" applyAlignment="1">
      <alignment horizontal="center" vertical="center"/>
    </xf>
    <xf numFmtId="0" fontId="12" fillId="17" borderId="9" xfId="0" applyFont="1" applyFill="1" applyBorder="1" applyAlignment="1">
      <alignment horizontal="center" vertical="center"/>
    </xf>
    <xf numFmtId="0" fontId="12" fillId="17" borderId="0" xfId="0" applyFont="1" applyFill="1" applyBorder="1" applyAlignment="1">
      <alignment horizontal="center" vertical="center"/>
    </xf>
    <xf numFmtId="0" fontId="12" fillId="18" borderId="12" xfId="0" applyFont="1" applyFill="1" applyBorder="1" applyAlignment="1">
      <alignment horizontal="center" vertical="center"/>
    </xf>
    <xf numFmtId="0" fontId="12" fillId="18" borderId="0" xfId="0" applyFont="1" applyFill="1" applyBorder="1" applyAlignment="1">
      <alignment horizontal="center" vertical="center"/>
    </xf>
    <xf numFmtId="0" fontId="12" fillId="19" borderId="15" xfId="0" applyFont="1" applyFill="1" applyBorder="1" applyAlignment="1">
      <alignment horizontal="center" vertical="center"/>
    </xf>
    <xf numFmtId="0" fontId="12" fillId="19" borderId="0" xfId="0" applyFont="1" applyFill="1" applyBorder="1" applyAlignment="1">
      <alignment horizontal="center" vertical="center"/>
    </xf>
    <xf numFmtId="0" fontId="12" fillId="20" borderId="17" xfId="0" applyFont="1" applyFill="1" applyBorder="1" applyAlignment="1">
      <alignment horizontal="center" vertical="center"/>
    </xf>
    <xf numFmtId="0" fontId="12" fillId="20" borderId="19" xfId="0" applyFont="1" applyFill="1" applyBorder="1" applyAlignment="1">
      <alignment horizontal="center" vertical="center"/>
    </xf>
    <xf numFmtId="0" fontId="26" fillId="16" borderId="1" xfId="0" applyFont="1" applyFill="1" applyBorder="1" applyAlignment="1">
      <alignment horizontal="left"/>
    </xf>
    <xf numFmtId="0" fontId="33" fillId="16" borderId="30" xfId="0" applyFont="1" applyFill="1" applyBorder="1" applyAlignment="1">
      <alignment horizontal="center" vertical="center" wrapText="1"/>
    </xf>
    <xf numFmtId="0" fontId="0" fillId="16" borderId="0" xfId="0" applyFill="1" applyBorder="1" applyAlignment="1">
      <alignment vertical="center" wrapText="1"/>
    </xf>
    <xf numFmtId="0" fontId="14" fillId="16" borderId="0" xfId="0" applyFont="1" applyFill="1" applyBorder="1" applyAlignment="1">
      <alignment horizontal="left" vertical="center" wrapText="1"/>
    </xf>
    <xf numFmtId="0" fontId="14" fillId="16" borderId="31" xfId="0" applyFont="1" applyFill="1" applyBorder="1" applyAlignment="1">
      <alignment horizontal="left" vertical="center" wrapText="1"/>
    </xf>
    <xf numFmtId="0" fontId="26" fillId="16" borderId="1" xfId="0" applyFont="1" applyFill="1" applyBorder="1" applyAlignment="1">
      <alignment horizontal="left" vertical="center" wrapText="1"/>
    </xf>
    <xf numFmtId="0" fontId="9" fillId="23" borderId="21" xfId="0" applyFont="1" applyFill="1" applyBorder="1" applyAlignment="1">
      <alignment horizontal="left" vertical="center" wrapText="1"/>
    </xf>
    <xf numFmtId="0" fontId="37" fillId="22" borderId="22" xfId="0" applyFont="1" applyFill="1" applyBorder="1" applyAlignment="1">
      <alignment horizontal="left" vertical="center" wrapText="1"/>
    </xf>
    <xf numFmtId="0" fontId="36" fillId="23" borderId="0" xfId="0" applyFont="1" applyFill="1" applyBorder="1" applyAlignment="1">
      <alignment horizontal="left" vertical="center"/>
    </xf>
    <xf numFmtId="0" fontId="34" fillId="23" borderId="21" xfId="0" applyFont="1" applyFill="1" applyBorder="1" applyAlignment="1">
      <alignment horizontal="left" vertical="center" wrapText="1"/>
    </xf>
    <xf numFmtId="0" fontId="24" fillId="20" borderId="29" xfId="0" applyFont="1" applyFill="1" applyBorder="1" applyAlignment="1">
      <alignment horizontal="center" vertical="center"/>
    </xf>
    <xf numFmtId="0" fontId="34" fillId="23" borderId="24" xfId="0" applyFont="1" applyFill="1" applyBorder="1" applyAlignment="1">
      <alignment horizontal="left" vertical="center" wrapText="1"/>
    </xf>
    <xf numFmtId="0" fontId="34" fillId="23" borderId="21" xfId="0" quotePrefix="1" applyFont="1" applyFill="1" applyBorder="1" applyAlignment="1">
      <alignment horizontal="left" vertical="center" wrapText="1"/>
    </xf>
    <xf numFmtId="0" fontId="34" fillId="23" borderId="24" xfId="0" quotePrefix="1" applyFont="1" applyFill="1" applyBorder="1" applyAlignment="1">
      <alignment horizontal="left" vertical="center" wrapText="1"/>
    </xf>
    <xf numFmtId="0" fontId="34" fillId="22" borderId="22" xfId="0" applyFont="1" applyFill="1" applyBorder="1" applyAlignment="1">
      <alignment horizontal="left" vertical="center" wrapText="1"/>
    </xf>
    <xf numFmtId="0" fontId="34" fillId="22" borderId="23" xfId="0" applyFont="1" applyFill="1" applyBorder="1" applyAlignment="1">
      <alignment horizontal="left" vertical="center" wrapText="1"/>
    </xf>
    <xf numFmtId="0" fontId="24" fillId="18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D6E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2F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Receita Líquida por Categoria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 Vendas por Categoria'!$D$5</c:f>
              <c:strCache>
                <c:ptCount val="1"/>
                <c:pt idx="0">
                  <c:v>Receita Líquida (R$)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Vendas por Categoria'!$C$6:$C$12</c:f>
              <c:strCache>
                <c:ptCount val="7"/>
                <c:pt idx="0">
                  <c:v>Eletrônicos</c:v>
                </c:pt>
                <c:pt idx="1">
                  <c:v>Casa</c:v>
                </c:pt>
                <c:pt idx="2">
                  <c:v>Escritório</c:v>
                </c:pt>
                <c:pt idx="3">
                  <c:v>Moda</c:v>
                </c:pt>
                <c:pt idx="4">
                  <c:v>Esporte</c:v>
                </c:pt>
                <c:pt idx="5">
                  <c:v>Pet</c:v>
                </c:pt>
                <c:pt idx="6">
                  <c:v>Beleza</c:v>
                </c:pt>
              </c:strCache>
            </c:strRef>
          </c:cat>
          <c:val>
            <c:numRef>
              <c:f>'2. Vendas por Categoria'!$D$6:$D$12</c:f>
              <c:numCache>
                <c:formatCode>"R$ "#,##0.00</c:formatCode>
                <c:ptCount val="7"/>
                <c:pt idx="0">
                  <c:v>102628.91</c:v>
                </c:pt>
                <c:pt idx="1">
                  <c:v>66730.679999999993</c:v>
                </c:pt>
                <c:pt idx="2">
                  <c:v>59165.73</c:v>
                </c:pt>
                <c:pt idx="3">
                  <c:v>58183.19</c:v>
                </c:pt>
                <c:pt idx="4">
                  <c:v>33719.07</c:v>
                </c:pt>
                <c:pt idx="5">
                  <c:v>29388.53</c:v>
                </c:pt>
                <c:pt idx="6">
                  <c:v>24772.11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0-41F2-B441-6F7AC809F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74072"/>
        <c:axId val="17517884"/>
      </c:barChart>
      <c:catAx>
        <c:axId val="204740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517884"/>
        <c:crosses val="autoZero"/>
        <c:auto val="1"/>
        <c:lblAlgn val="ctr"/>
        <c:lblOffset val="100"/>
        <c:noMultiLvlLbl val="0"/>
      </c:catAx>
      <c:valAx>
        <c:axId val="175178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Categoria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04740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6</xdr:col>
      <xdr:colOff>120960</xdr:colOff>
      <xdr:row>37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15DD96-2BF0-4394-9DAF-AAA711968F15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a9f79675-66f2-4621-85df-10c7cd36123c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1"/>
  <sheetViews>
    <sheetView showGridLines="0" tabSelected="1" zoomScaleNormal="100" workbookViewId="0">
      <selection activeCell="B7" sqref="B7:K7"/>
    </sheetView>
  </sheetViews>
  <sheetFormatPr defaultColWidth="8.7109375" defaultRowHeight="15" x14ac:dyDescent="0.25"/>
  <cols>
    <col min="1" max="1" width="2.28515625" customWidth="1"/>
    <col min="2" max="2" width="21" customWidth="1"/>
    <col min="3" max="3" width="38.140625" customWidth="1"/>
    <col min="4" max="4" width="13.28515625" customWidth="1"/>
    <col min="5" max="5" width="14.28515625" customWidth="1"/>
    <col min="6" max="6" width="13.28515625" customWidth="1"/>
    <col min="7" max="7" width="14.28515625" customWidth="1"/>
    <col min="8" max="8" width="13.28515625" customWidth="1"/>
    <col min="9" max="9" width="14.28515625" customWidth="1"/>
    <col min="10" max="10" width="13.28515625" customWidth="1"/>
    <col min="11" max="11" width="14.28515625" customWidth="1"/>
    <col min="12" max="12" width="2" customWidth="1"/>
  </cols>
  <sheetData>
    <row r="1" spans="2:11" ht="9.75" customHeight="1" x14ac:dyDescent="0.25"/>
    <row r="2" spans="2:11" ht="33.950000000000003" customHeight="1" x14ac:dyDescent="0.25">
      <c r="B2" s="78" t="s">
        <v>146</v>
      </c>
      <c r="C2" s="78"/>
      <c r="D2" s="78"/>
      <c r="E2" s="78"/>
      <c r="F2" s="78"/>
      <c r="G2" s="78"/>
      <c r="H2" s="78"/>
      <c r="I2" s="78"/>
      <c r="J2" s="78"/>
      <c r="K2" s="78"/>
    </row>
    <row r="3" spans="2:11" ht="21.95" customHeight="1" x14ac:dyDescent="0.25">
      <c r="B3" s="79" t="s">
        <v>147</v>
      </c>
      <c r="C3" s="79"/>
      <c r="D3" s="79"/>
      <c r="E3" s="79"/>
      <c r="F3" s="79"/>
      <c r="G3" s="79"/>
      <c r="H3" s="79"/>
      <c r="I3" s="79"/>
      <c r="J3" s="79"/>
      <c r="K3" s="79"/>
    </row>
    <row r="5" spans="2:11" ht="27.95" customHeight="1" x14ac:dyDescent="0.25">
      <c r="B5" s="77" t="s">
        <v>148</v>
      </c>
      <c r="C5" s="77"/>
      <c r="D5" s="77"/>
      <c r="E5" s="77"/>
      <c r="F5" s="77"/>
      <c r="G5" s="77"/>
      <c r="H5" s="77"/>
      <c r="I5" s="77"/>
      <c r="J5" s="77"/>
      <c r="K5" s="77"/>
    </row>
    <row r="6" spans="2:11" ht="19.5" customHeight="1" x14ac:dyDescent="0.25"/>
    <row r="7" spans="2:11" ht="26.1" customHeight="1" thickBot="1" x14ac:dyDescent="0.3">
      <c r="B7" s="122" t="s">
        <v>0</v>
      </c>
      <c r="C7" s="122"/>
      <c r="D7" s="122"/>
      <c r="E7" s="122"/>
      <c r="F7" s="122"/>
      <c r="G7" s="122"/>
      <c r="H7" s="122"/>
      <c r="I7" s="122"/>
      <c r="J7" s="122"/>
      <c r="K7" s="122"/>
    </row>
    <row r="8" spans="2:11" ht="21.95" customHeight="1" x14ac:dyDescent="0.25">
      <c r="B8" s="112" t="s">
        <v>149</v>
      </c>
      <c r="C8" s="113"/>
      <c r="D8" s="114" t="s">
        <v>150</v>
      </c>
      <c r="E8" s="115"/>
      <c r="F8" s="116" t="s">
        <v>151</v>
      </c>
      <c r="G8" s="117"/>
      <c r="H8" s="118" t="s">
        <v>152</v>
      </c>
      <c r="I8" s="119"/>
      <c r="J8" s="120" t="s">
        <v>153</v>
      </c>
      <c r="K8" s="121"/>
    </row>
    <row r="9" spans="2:11" ht="39.950000000000003" customHeight="1" x14ac:dyDescent="0.25">
      <c r="B9" s="82" t="s">
        <v>154</v>
      </c>
      <c r="C9" s="80"/>
      <c r="D9" s="86" t="s">
        <v>155</v>
      </c>
      <c r="E9" s="84"/>
      <c r="F9" s="90" t="s">
        <v>156</v>
      </c>
      <c r="G9" s="88"/>
      <c r="H9" s="94">
        <v>724</v>
      </c>
      <c r="I9" s="92"/>
      <c r="J9" s="96" t="s">
        <v>157</v>
      </c>
      <c r="K9" s="98"/>
    </row>
    <row r="10" spans="2:11" ht="20.100000000000001" customHeight="1" thickBot="1" x14ac:dyDescent="0.3">
      <c r="B10" s="83" t="s">
        <v>158</v>
      </c>
      <c r="C10" s="81"/>
      <c r="D10" s="87" t="s">
        <v>159</v>
      </c>
      <c r="E10" s="85"/>
      <c r="F10" s="91" t="s">
        <v>160</v>
      </c>
      <c r="G10" s="89"/>
      <c r="H10" s="95" t="s">
        <v>161</v>
      </c>
      <c r="I10" s="93"/>
      <c r="J10" s="97" t="s">
        <v>162</v>
      </c>
      <c r="K10" s="99"/>
    </row>
    <row r="11" spans="2:11" ht="30" customHeight="1" x14ac:dyDescent="0.25"/>
    <row r="12" spans="2:11" ht="26.1" customHeight="1" thickBot="1" x14ac:dyDescent="0.3">
      <c r="B12" s="127" t="s">
        <v>163</v>
      </c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 ht="24" customHeight="1" x14ac:dyDescent="0.25">
      <c r="B13" s="123" t="s">
        <v>2</v>
      </c>
      <c r="C13" s="124"/>
      <c r="D13" s="125" t="s">
        <v>164</v>
      </c>
      <c r="E13" s="125"/>
      <c r="F13" s="125"/>
      <c r="G13" s="125"/>
      <c r="H13" s="125"/>
      <c r="I13" s="125"/>
      <c r="J13" s="125"/>
      <c r="K13" s="126"/>
    </row>
    <row r="14" spans="2:11" ht="24" customHeight="1" x14ac:dyDescent="0.25">
      <c r="B14" s="102" t="s">
        <v>3</v>
      </c>
      <c r="C14" s="100"/>
      <c r="D14" s="101" t="s">
        <v>165</v>
      </c>
      <c r="E14" s="101"/>
      <c r="F14" s="101"/>
      <c r="G14" s="101"/>
      <c r="H14" s="101"/>
      <c r="I14" s="101"/>
      <c r="J14" s="101"/>
      <c r="K14" s="103"/>
    </row>
    <row r="15" spans="2:11" ht="24" customHeight="1" x14ac:dyDescent="0.25">
      <c r="B15" s="106" t="s">
        <v>166</v>
      </c>
      <c r="C15" s="104"/>
      <c r="D15" s="105" t="s">
        <v>167</v>
      </c>
      <c r="E15" s="105"/>
      <c r="F15" s="105"/>
      <c r="G15" s="105"/>
      <c r="H15" s="105"/>
      <c r="I15" s="105"/>
      <c r="J15" s="105"/>
      <c r="K15" s="107"/>
    </row>
    <row r="16" spans="2:11" ht="24" customHeight="1" x14ac:dyDescent="0.25">
      <c r="B16" s="111" t="s">
        <v>168</v>
      </c>
      <c r="C16" s="108"/>
      <c r="D16" s="109" t="s">
        <v>169</v>
      </c>
      <c r="E16" s="109"/>
      <c r="F16" s="109"/>
      <c r="G16" s="109"/>
      <c r="H16" s="109"/>
      <c r="I16" s="109"/>
      <c r="J16" s="109"/>
      <c r="K16" s="110"/>
    </row>
    <row r="17" spans="2:11" ht="15.75" customHeight="1" x14ac:dyDescent="0.25"/>
    <row r="18" spans="2:11" ht="26.1" customHeight="1" x14ac:dyDescent="0.25">
      <c r="B18" s="130" t="s">
        <v>170</v>
      </c>
      <c r="C18" s="130"/>
      <c r="D18" s="130"/>
      <c r="E18" s="130"/>
      <c r="F18" s="130"/>
      <c r="G18" s="130"/>
      <c r="H18" s="130"/>
      <c r="I18" s="130"/>
      <c r="J18" s="130"/>
      <c r="K18" s="130"/>
    </row>
    <row r="19" spans="2:11" ht="56.1" customHeight="1" x14ac:dyDescent="0.25">
      <c r="B19" s="132">
        <v>1</v>
      </c>
      <c r="C19" s="128" t="s">
        <v>171</v>
      </c>
      <c r="D19" s="131" t="s">
        <v>174</v>
      </c>
      <c r="E19" s="131"/>
      <c r="F19" s="131"/>
      <c r="G19" s="131"/>
      <c r="H19" s="131"/>
      <c r="I19" s="131"/>
      <c r="J19" s="131"/>
      <c r="K19" s="133"/>
    </row>
    <row r="20" spans="2:11" ht="56.1" customHeight="1" x14ac:dyDescent="0.25">
      <c r="B20" s="132">
        <v>2</v>
      </c>
      <c r="C20" s="128" t="s">
        <v>172</v>
      </c>
      <c r="D20" s="134" t="s">
        <v>175</v>
      </c>
      <c r="E20" s="134"/>
      <c r="F20" s="134"/>
      <c r="G20" s="134"/>
      <c r="H20" s="134"/>
      <c r="I20" s="134"/>
      <c r="J20" s="134"/>
      <c r="K20" s="135"/>
    </row>
    <row r="21" spans="2:11" ht="56.1" customHeight="1" x14ac:dyDescent="0.25">
      <c r="B21" s="138">
        <v>3</v>
      </c>
      <c r="C21" s="129" t="s">
        <v>173</v>
      </c>
      <c r="D21" s="136" t="s">
        <v>176</v>
      </c>
      <c r="E21" s="136"/>
      <c r="F21" s="136"/>
      <c r="G21" s="136"/>
      <c r="H21" s="136"/>
      <c r="I21" s="136"/>
      <c r="J21" s="136"/>
      <c r="K21" s="137"/>
    </row>
  </sheetData>
  <mergeCells count="28">
    <mergeCell ref="D19:K19"/>
    <mergeCell ref="D20:K20"/>
    <mergeCell ref="D21:K21"/>
    <mergeCell ref="B2:K2"/>
    <mergeCell ref="B3:K3"/>
    <mergeCell ref="B5:K5"/>
    <mergeCell ref="B7:K7"/>
    <mergeCell ref="B12:K12"/>
    <mergeCell ref="B18:K18"/>
    <mergeCell ref="J8:K8"/>
    <mergeCell ref="B9:C9"/>
    <mergeCell ref="D9:E9"/>
    <mergeCell ref="F9:G9"/>
    <mergeCell ref="H9:I9"/>
    <mergeCell ref="J9:K9"/>
    <mergeCell ref="B10:C10"/>
    <mergeCell ref="D10:E10"/>
    <mergeCell ref="D14:K14"/>
    <mergeCell ref="D15:K15"/>
    <mergeCell ref="D16:K16"/>
    <mergeCell ref="D13:K13"/>
    <mergeCell ref="B8:C8"/>
    <mergeCell ref="D8:E8"/>
    <mergeCell ref="F8:G8"/>
    <mergeCell ref="H8:I8"/>
    <mergeCell ref="F10:G10"/>
    <mergeCell ref="H10:I10"/>
    <mergeCell ref="J10:K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3"/>
  <sheetViews>
    <sheetView showGridLines="0" topLeftCell="A5" zoomScaleNormal="100" workbookViewId="0">
      <selection activeCell="E13" sqref="E13"/>
    </sheetView>
  </sheetViews>
  <sheetFormatPr defaultColWidth="8.7109375" defaultRowHeight="15" x14ac:dyDescent="0.25"/>
  <cols>
    <col min="1" max="1" width="2" customWidth="1"/>
    <col min="2" max="2" width="10" customWidth="1"/>
    <col min="3" max="3" width="18" customWidth="1"/>
    <col min="4" max="5" width="20" customWidth="1"/>
    <col min="6" max="6" width="12" customWidth="1"/>
    <col min="7" max="7" width="14" customWidth="1"/>
    <col min="8" max="8" width="12" customWidth="1"/>
    <col min="9" max="9" width="16" customWidth="1"/>
  </cols>
  <sheetData>
    <row r="1" spans="2:9" ht="7.5" customHeight="1" x14ac:dyDescent="0.25"/>
    <row r="2" spans="2:9" ht="27.75" customHeight="1" x14ac:dyDescent="0.25">
      <c r="B2" s="64" t="s">
        <v>4</v>
      </c>
      <c r="C2" s="64"/>
      <c r="D2" s="64"/>
      <c r="E2" s="64"/>
      <c r="F2" s="64"/>
      <c r="G2" s="64"/>
      <c r="H2" s="64"/>
      <c r="I2" s="64"/>
    </row>
    <row r="3" spans="2:9" ht="15.75" customHeight="1" x14ac:dyDescent="0.25">
      <c r="B3" s="1" t="s">
        <v>5</v>
      </c>
      <c r="C3" s="1"/>
      <c r="D3" s="1"/>
      <c r="E3" s="1"/>
      <c r="F3" s="1"/>
      <c r="G3" s="1"/>
      <c r="H3" s="1"/>
      <c r="I3" s="1"/>
    </row>
    <row r="5" spans="2:9" ht="25.5" customHeight="1" x14ac:dyDescent="0.25"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</v>
      </c>
    </row>
    <row r="6" spans="2:9" ht="19.5" customHeight="1" x14ac:dyDescent="0.25">
      <c r="B6" s="3" t="s">
        <v>13</v>
      </c>
      <c r="C6" s="3" t="s">
        <v>14</v>
      </c>
      <c r="D6" s="4">
        <v>102628.91</v>
      </c>
      <c r="E6" s="5">
        <v>42109.91</v>
      </c>
      <c r="F6" s="6">
        <v>0.41031235740494598</v>
      </c>
      <c r="G6" s="7">
        <v>292</v>
      </c>
      <c r="H6" s="7">
        <v>157</v>
      </c>
      <c r="I6" s="6">
        <v>6.1095541401273899E-2</v>
      </c>
    </row>
    <row r="7" spans="2:9" ht="19.5" customHeight="1" x14ac:dyDescent="0.25">
      <c r="B7" s="8" t="s">
        <v>15</v>
      </c>
      <c r="C7" s="8" t="s">
        <v>16</v>
      </c>
      <c r="D7" s="9">
        <v>66730.679999999993</v>
      </c>
      <c r="E7" s="10">
        <v>27032.68</v>
      </c>
      <c r="F7" s="11">
        <v>0.40510122180682101</v>
      </c>
      <c r="G7" s="12">
        <v>217</v>
      </c>
      <c r="H7" s="12">
        <v>136</v>
      </c>
      <c r="I7" s="11">
        <v>5.8588970588235298E-2</v>
      </c>
    </row>
    <row r="8" spans="2:9" ht="19.5" customHeight="1" x14ac:dyDescent="0.25">
      <c r="B8" s="8" t="s">
        <v>17</v>
      </c>
      <c r="C8" s="8" t="s">
        <v>18</v>
      </c>
      <c r="D8" s="9">
        <v>59165.73</v>
      </c>
      <c r="E8" s="10">
        <v>24459.73</v>
      </c>
      <c r="F8" s="11">
        <v>0.41341043201867</v>
      </c>
      <c r="G8" s="12">
        <v>166</v>
      </c>
      <c r="H8" s="12">
        <v>94</v>
      </c>
      <c r="I8" s="11">
        <v>6.1520212765957399E-2</v>
      </c>
    </row>
    <row r="9" spans="2:9" ht="19.5" customHeight="1" x14ac:dyDescent="0.25">
      <c r="B9" s="13" t="s">
        <v>19</v>
      </c>
      <c r="C9" s="13" t="s">
        <v>20</v>
      </c>
      <c r="D9" s="10">
        <v>58183.19</v>
      </c>
      <c r="E9" s="10">
        <v>27769.19</v>
      </c>
      <c r="F9" s="14">
        <v>0.47727169995320001</v>
      </c>
      <c r="G9" s="12">
        <v>202</v>
      </c>
      <c r="H9" s="12">
        <v>112</v>
      </c>
      <c r="I9" s="11">
        <v>6.1706249999999997E-2</v>
      </c>
    </row>
    <row r="10" spans="2:9" ht="19.5" customHeight="1" x14ac:dyDescent="0.25">
      <c r="B10" s="15" t="s">
        <v>21</v>
      </c>
      <c r="C10" s="15" t="s">
        <v>22</v>
      </c>
      <c r="D10" s="16">
        <v>33719.07</v>
      </c>
      <c r="E10" s="16">
        <v>15203.07</v>
      </c>
      <c r="F10" s="17">
        <v>0.45087453479588901</v>
      </c>
      <c r="G10" s="18">
        <v>160</v>
      </c>
      <c r="H10" s="18">
        <v>94</v>
      </c>
      <c r="I10" s="19">
        <v>7.3276595744680803E-2</v>
      </c>
    </row>
    <row r="11" spans="2:9" ht="19.5" customHeight="1" x14ac:dyDescent="0.25">
      <c r="B11" s="13" t="s">
        <v>23</v>
      </c>
      <c r="C11" s="13" t="s">
        <v>24</v>
      </c>
      <c r="D11" s="10">
        <v>29388.53</v>
      </c>
      <c r="E11" s="10">
        <v>12330.53</v>
      </c>
      <c r="F11" s="11">
        <v>0.41956947149108897</v>
      </c>
      <c r="G11" s="12">
        <v>129</v>
      </c>
      <c r="H11" s="12">
        <v>69</v>
      </c>
      <c r="I11" s="11">
        <v>6.3313043478260903E-2</v>
      </c>
    </row>
    <row r="12" spans="2:9" ht="19.5" customHeight="1" x14ac:dyDescent="0.25">
      <c r="B12" s="15" t="s">
        <v>25</v>
      </c>
      <c r="C12" s="15" t="s">
        <v>26</v>
      </c>
      <c r="D12" s="16">
        <v>24772.11</v>
      </c>
      <c r="E12" s="16">
        <v>11926.11</v>
      </c>
      <c r="F12" s="17">
        <v>0.48143295020085097</v>
      </c>
      <c r="G12" s="18">
        <v>114</v>
      </c>
      <c r="H12" s="18">
        <v>62</v>
      </c>
      <c r="I12" s="19">
        <v>6.5972580645161302E-2</v>
      </c>
    </row>
    <row r="13" spans="2:9" ht="21.75" customHeight="1" x14ac:dyDescent="0.25">
      <c r="B13" s="65" t="s">
        <v>27</v>
      </c>
      <c r="C13" s="65"/>
      <c r="D13" s="20">
        <f>SUM(D6:D12)</f>
        <v>374588.22</v>
      </c>
      <c r="E13" s="20">
        <f>SUM(E6:E12)</f>
        <v>160831.21999999997</v>
      </c>
      <c r="F13" s="21">
        <f>E13/D13</f>
        <v>0.42935471916335216</v>
      </c>
      <c r="G13" s="22">
        <f>SUM(G6:G12)</f>
        <v>1280</v>
      </c>
      <c r="H13" s="22">
        <f>SUM(H6:H12)</f>
        <v>724</v>
      </c>
      <c r="I13" s="21">
        <f>AVERAGE(I6:I12)</f>
        <v>6.3639027803367082E-2</v>
      </c>
    </row>
  </sheetData>
  <mergeCells count="3">
    <mergeCell ref="B2:I2"/>
    <mergeCell ref="B3:I3"/>
    <mergeCell ref="B13:C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3"/>
  <sheetViews>
    <sheetView showGridLines="0" zoomScaleNormal="100" workbookViewId="0">
      <selection activeCell="E7" sqref="E7"/>
    </sheetView>
  </sheetViews>
  <sheetFormatPr defaultColWidth="8.7109375" defaultRowHeight="15" x14ac:dyDescent="0.25"/>
  <cols>
    <col min="1" max="1" width="2" customWidth="1"/>
    <col min="2" max="2" width="22" customWidth="1"/>
    <col min="3" max="3" width="12" customWidth="1"/>
    <col min="4" max="4" width="22" customWidth="1"/>
    <col min="5" max="6" width="16" customWidth="1"/>
    <col min="7" max="7" width="22" customWidth="1"/>
    <col min="8" max="8" width="12" customWidth="1"/>
    <col min="9" max="9" width="14" customWidth="1"/>
  </cols>
  <sheetData>
    <row r="1" spans="2:10" ht="7.5" customHeight="1" x14ac:dyDescent="0.25"/>
    <row r="2" spans="2:10" ht="27.75" customHeight="1" x14ac:dyDescent="0.25">
      <c r="B2" s="64" t="s">
        <v>28</v>
      </c>
      <c r="C2" s="64"/>
      <c r="D2" s="64"/>
      <c r="E2" s="64"/>
      <c r="F2" s="64"/>
      <c r="G2" s="64"/>
      <c r="H2" s="64"/>
      <c r="I2" s="64"/>
      <c r="J2" s="64"/>
    </row>
    <row r="3" spans="2:10" ht="15.75" customHeight="1" x14ac:dyDescent="0.25">
      <c r="B3" s="1" t="s">
        <v>29</v>
      </c>
      <c r="C3" s="1"/>
      <c r="D3" s="1"/>
      <c r="E3" s="1"/>
      <c r="F3" s="1"/>
      <c r="G3" s="1"/>
      <c r="H3" s="1"/>
      <c r="I3" s="1"/>
      <c r="J3" s="1"/>
    </row>
    <row r="5" spans="2:10" ht="25.5" customHeight="1" x14ac:dyDescent="0.25">
      <c r="B5" s="2" t="s">
        <v>30</v>
      </c>
      <c r="C5" s="2" t="s">
        <v>12</v>
      </c>
      <c r="D5" s="2" t="s">
        <v>8</v>
      </c>
      <c r="E5" s="2" t="s">
        <v>31</v>
      </c>
      <c r="F5" s="2" t="s">
        <v>1</v>
      </c>
      <c r="G5" s="2" t="s">
        <v>9</v>
      </c>
      <c r="H5" s="2" t="s">
        <v>10</v>
      </c>
      <c r="I5" s="2" t="s">
        <v>32</v>
      </c>
    </row>
    <row r="6" spans="2:10" ht="21.75" customHeight="1" x14ac:dyDescent="0.25">
      <c r="B6" s="15" t="s">
        <v>33</v>
      </c>
      <c r="C6" s="18">
        <v>540</v>
      </c>
      <c r="D6" s="23">
        <v>286058.51</v>
      </c>
      <c r="E6" s="19">
        <v>0.77083202866606904</v>
      </c>
      <c r="F6" s="24">
        <v>4.3001296296296301E-2</v>
      </c>
      <c r="G6" s="16">
        <v>125985.51</v>
      </c>
      <c r="H6" s="24">
        <v>0.44041867518641598</v>
      </c>
      <c r="I6" s="25" t="s">
        <v>34</v>
      </c>
    </row>
    <row r="7" spans="2:10" ht="21.75" customHeight="1" x14ac:dyDescent="0.25">
      <c r="B7" s="26" t="s">
        <v>35</v>
      </c>
      <c r="C7" s="27">
        <v>62</v>
      </c>
      <c r="D7" s="28">
        <v>29609.599999999999</v>
      </c>
      <c r="E7" s="29">
        <v>7.9787970775597003E-2</v>
      </c>
      <c r="F7" s="30">
        <v>0.130204838709677</v>
      </c>
      <c r="G7" s="31">
        <v>11766.6</v>
      </c>
      <c r="H7" s="32">
        <v>0.39739138657732598</v>
      </c>
      <c r="I7" s="26" t="s">
        <v>36</v>
      </c>
    </row>
    <row r="8" spans="2:10" ht="21.75" customHeight="1" x14ac:dyDescent="0.25">
      <c r="B8" s="15" t="s">
        <v>37</v>
      </c>
      <c r="C8" s="18">
        <v>52</v>
      </c>
      <c r="D8" s="23">
        <v>26018.17</v>
      </c>
      <c r="E8" s="19">
        <v>7.0110267872396603E-2</v>
      </c>
      <c r="F8" s="32">
        <v>8.4901923076923097E-2</v>
      </c>
      <c r="G8" s="16">
        <v>10523.17</v>
      </c>
      <c r="H8" s="32">
        <v>0.40445465611147902</v>
      </c>
      <c r="I8" s="25" t="s">
        <v>34</v>
      </c>
    </row>
    <row r="9" spans="2:10" ht="21.75" customHeight="1" x14ac:dyDescent="0.25">
      <c r="B9" s="13" t="s">
        <v>38</v>
      </c>
      <c r="C9" s="12">
        <v>36</v>
      </c>
      <c r="D9" s="9">
        <v>18280.849999999999</v>
      </c>
      <c r="E9" s="11">
        <v>4.9260777773190899E-2</v>
      </c>
      <c r="F9" s="32">
        <v>0.118005555555556</v>
      </c>
      <c r="G9" s="10">
        <v>7326.85</v>
      </c>
      <c r="H9" s="32">
        <v>0.40079372676872299</v>
      </c>
      <c r="I9" s="25" t="s">
        <v>34</v>
      </c>
    </row>
    <row r="10" spans="2:10" ht="21.75" customHeight="1" x14ac:dyDescent="0.25">
      <c r="B10" s="26" t="s">
        <v>39</v>
      </c>
      <c r="C10" s="27">
        <v>29</v>
      </c>
      <c r="D10" s="28">
        <v>11136.43</v>
      </c>
      <c r="E10" s="29">
        <v>3.0008954912747299E-2</v>
      </c>
      <c r="F10" s="30">
        <v>0.179479310344828</v>
      </c>
      <c r="G10" s="31">
        <v>3896.43</v>
      </c>
      <c r="H10" s="30">
        <v>0.34988142519640503</v>
      </c>
      <c r="I10" s="26" t="s">
        <v>36</v>
      </c>
    </row>
    <row r="11" spans="2:10" ht="21.75" customHeight="1" x14ac:dyDescent="0.25">
      <c r="B11" s="65" t="s">
        <v>40</v>
      </c>
      <c r="C11" s="65"/>
      <c r="D11" s="20">
        <f>SUM(D6:D10)</f>
        <v>371103.55999999994</v>
      </c>
      <c r="E11" s="33" t="s">
        <v>41</v>
      </c>
      <c r="F11" s="21">
        <f>AVERAGE(F6:F10)</f>
        <v>0.11111858479665608</v>
      </c>
      <c r="G11" s="20">
        <f>SUM(G6:G10)</f>
        <v>159498.56</v>
      </c>
      <c r="H11" s="21">
        <f>G11/D11</f>
        <v>0.42979528409805612</v>
      </c>
      <c r="I11" s="34"/>
    </row>
    <row r="13" spans="2:10" ht="15.75" customHeight="1" x14ac:dyDescent="0.25">
      <c r="B13" s="66" t="s">
        <v>42</v>
      </c>
      <c r="C13" s="66"/>
      <c r="D13" s="66"/>
      <c r="E13" s="66"/>
      <c r="F13" s="66"/>
      <c r="G13" s="66"/>
      <c r="H13" s="66"/>
      <c r="I13" s="66"/>
    </row>
  </sheetData>
  <mergeCells count="4">
    <mergeCell ref="B2:J2"/>
    <mergeCell ref="B3:J3"/>
    <mergeCell ref="B11:C11"/>
    <mergeCell ref="B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34"/>
  <sheetViews>
    <sheetView showGridLines="0" zoomScaleNormal="100" workbookViewId="0">
      <selection activeCell="E7" sqref="E7"/>
    </sheetView>
  </sheetViews>
  <sheetFormatPr defaultColWidth="8.7109375" defaultRowHeight="15" x14ac:dyDescent="0.25"/>
  <cols>
    <col min="1" max="1" width="2" customWidth="1"/>
    <col min="2" max="2" width="9" customWidth="1"/>
    <col min="3" max="3" width="22" customWidth="1"/>
    <col min="4" max="5" width="14" customWidth="1"/>
    <col min="6" max="7" width="16" customWidth="1"/>
    <col min="8" max="9" width="12" customWidth="1"/>
    <col min="10" max="10" width="10" customWidth="1"/>
    <col min="11" max="11" width="14" customWidth="1"/>
    <col min="12" max="12" width="16" customWidth="1"/>
    <col min="13" max="13" width="12" customWidth="1"/>
  </cols>
  <sheetData>
    <row r="1" spans="2:13" ht="7.5" customHeight="1" x14ac:dyDescent="0.25"/>
    <row r="2" spans="2:13" ht="27.75" customHeight="1" x14ac:dyDescent="0.25">
      <c r="B2" s="64" t="s">
        <v>43</v>
      </c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2:13" ht="15.75" customHeight="1" x14ac:dyDescent="0.25">
      <c r="B3" s="1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</row>
    <row r="5" spans="2:13" ht="19.5" customHeight="1" x14ac:dyDescent="0.25">
      <c r="B5" s="67" t="s">
        <v>45</v>
      </c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2:13" ht="24" customHeight="1" x14ac:dyDescent="0.25">
      <c r="B6" s="35" t="s">
        <v>46</v>
      </c>
      <c r="C6" s="35" t="s">
        <v>47</v>
      </c>
      <c r="D6" s="35" t="s">
        <v>7</v>
      </c>
      <c r="E6" s="35" t="s">
        <v>48</v>
      </c>
      <c r="F6" s="35" t="s">
        <v>49</v>
      </c>
      <c r="G6" s="35" t="s">
        <v>50</v>
      </c>
      <c r="H6" s="35" t="s">
        <v>51</v>
      </c>
      <c r="I6" s="35" t="s">
        <v>52</v>
      </c>
      <c r="J6" s="35" t="s">
        <v>53</v>
      </c>
      <c r="K6" s="35" t="s">
        <v>54</v>
      </c>
      <c r="L6" s="35" t="s">
        <v>55</v>
      </c>
      <c r="M6" s="35" t="s">
        <v>56</v>
      </c>
    </row>
    <row r="7" spans="2:13" ht="21.75" customHeight="1" x14ac:dyDescent="0.25">
      <c r="B7" s="36" t="s">
        <v>57</v>
      </c>
      <c r="C7" s="37" t="s">
        <v>58</v>
      </c>
      <c r="D7" s="36" t="s">
        <v>16</v>
      </c>
      <c r="E7" s="38">
        <v>12</v>
      </c>
      <c r="F7" s="38">
        <v>1</v>
      </c>
      <c r="G7" s="38">
        <v>11</v>
      </c>
      <c r="H7" s="38">
        <v>12</v>
      </c>
      <c r="I7" s="38">
        <v>-1</v>
      </c>
      <c r="J7" s="39">
        <v>16.899999999999999</v>
      </c>
      <c r="K7" s="38">
        <v>7</v>
      </c>
      <c r="L7" s="40">
        <v>2220</v>
      </c>
      <c r="M7" s="36" t="s">
        <v>59</v>
      </c>
    </row>
    <row r="8" spans="2:13" ht="21.75" customHeight="1" x14ac:dyDescent="0.25">
      <c r="B8" s="36" t="s">
        <v>60</v>
      </c>
      <c r="C8" s="37" t="s">
        <v>61</v>
      </c>
      <c r="D8" s="36" t="s">
        <v>20</v>
      </c>
      <c r="E8" s="38">
        <v>5</v>
      </c>
      <c r="F8" s="38">
        <v>0</v>
      </c>
      <c r="G8" s="38">
        <v>5</v>
      </c>
      <c r="H8" s="38">
        <v>12</v>
      </c>
      <c r="I8" s="38">
        <v>-7</v>
      </c>
      <c r="J8" s="39">
        <v>16</v>
      </c>
      <c r="K8" s="38">
        <v>12</v>
      </c>
      <c r="L8" s="40">
        <v>770</v>
      </c>
      <c r="M8" s="36" t="s">
        <v>59</v>
      </c>
    </row>
    <row r="9" spans="2:13" ht="21.75" customHeight="1" x14ac:dyDescent="0.25">
      <c r="B9" s="36" t="s">
        <v>62</v>
      </c>
      <c r="C9" s="37" t="s">
        <v>63</v>
      </c>
      <c r="D9" s="36" t="s">
        <v>14</v>
      </c>
      <c r="E9" s="38">
        <v>5</v>
      </c>
      <c r="F9" s="38">
        <v>0</v>
      </c>
      <c r="G9" s="38">
        <v>5</v>
      </c>
      <c r="H9" s="38">
        <v>12</v>
      </c>
      <c r="I9" s="38">
        <v>-7</v>
      </c>
      <c r="J9" s="39">
        <v>15.4</v>
      </c>
      <c r="K9" s="38">
        <v>7</v>
      </c>
      <c r="L9" s="40">
        <v>2025</v>
      </c>
      <c r="M9" s="36" t="s">
        <v>59</v>
      </c>
    </row>
    <row r="10" spans="2:13" ht="21.75" customHeight="1" x14ac:dyDescent="0.25">
      <c r="B10" s="36" t="s">
        <v>64</v>
      </c>
      <c r="C10" s="37" t="s">
        <v>65</v>
      </c>
      <c r="D10" s="36" t="s">
        <v>16</v>
      </c>
      <c r="E10" s="38">
        <v>5</v>
      </c>
      <c r="F10" s="38">
        <v>0</v>
      </c>
      <c r="G10" s="38">
        <v>5</v>
      </c>
      <c r="H10" s="38">
        <v>12</v>
      </c>
      <c r="I10" s="38">
        <v>-7</v>
      </c>
      <c r="J10" s="39">
        <v>15.4</v>
      </c>
      <c r="K10" s="38">
        <v>14</v>
      </c>
      <c r="L10" s="40">
        <v>1450</v>
      </c>
      <c r="M10" s="36" t="s">
        <v>59</v>
      </c>
    </row>
    <row r="13" spans="2:13" ht="19.5" customHeight="1" x14ac:dyDescent="0.25">
      <c r="B13" s="68" t="s">
        <v>66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</row>
    <row r="14" spans="2:13" ht="24" customHeight="1" x14ac:dyDescent="0.25">
      <c r="B14" s="41" t="s">
        <v>46</v>
      </c>
      <c r="C14" s="41" t="s">
        <v>47</v>
      </c>
      <c r="D14" s="41" t="s">
        <v>7</v>
      </c>
      <c r="E14" s="41" t="s">
        <v>48</v>
      </c>
      <c r="F14" s="41" t="s">
        <v>49</v>
      </c>
      <c r="G14" s="41" t="s">
        <v>50</v>
      </c>
      <c r="H14" s="41" t="s">
        <v>51</v>
      </c>
      <c r="I14" s="41" t="s">
        <v>52</v>
      </c>
      <c r="J14" s="41" t="s">
        <v>53</v>
      </c>
      <c r="K14" s="41" t="s">
        <v>54</v>
      </c>
      <c r="L14" s="41" t="s">
        <v>55</v>
      </c>
      <c r="M14" s="41" t="s">
        <v>56</v>
      </c>
    </row>
    <row r="15" spans="2:13" ht="21.75" customHeight="1" x14ac:dyDescent="0.25">
      <c r="B15" s="42" t="s">
        <v>67</v>
      </c>
      <c r="C15" s="43" t="s">
        <v>68</v>
      </c>
      <c r="D15" s="42" t="s">
        <v>18</v>
      </c>
      <c r="E15" s="44">
        <v>40</v>
      </c>
      <c r="F15" s="44">
        <v>3</v>
      </c>
      <c r="G15" s="44">
        <v>37</v>
      </c>
      <c r="H15" s="44">
        <v>12</v>
      </c>
      <c r="I15" s="45">
        <v>25</v>
      </c>
      <c r="J15" s="46">
        <v>9.1</v>
      </c>
      <c r="K15" s="44">
        <v>4</v>
      </c>
      <c r="L15" s="47">
        <v>20800</v>
      </c>
      <c r="M15" s="42" t="s">
        <v>69</v>
      </c>
    </row>
    <row r="16" spans="2:13" ht="21.75" customHeight="1" x14ac:dyDescent="0.25">
      <c r="B16" s="42" t="s">
        <v>70</v>
      </c>
      <c r="C16" s="43" t="s">
        <v>71</v>
      </c>
      <c r="D16" s="42" t="s">
        <v>24</v>
      </c>
      <c r="E16" s="44">
        <v>40</v>
      </c>
      <c r="F16" s="44">
        <v>2</v>
      </c>
      <c r="G16" s="44">
        <v>38</v>
      </c>
      <c r="H16" s="44">
        <v>12</v>
      </c>
      <c r="I16" s="45">
        <v>26</v>
      </c>
      <c r="J16" s="46">
        <v>18.5</v>
      </c>
      <c r="K16" s="44">
        <v>26</v>
      </c>
      <c r="L16" s="47">
        <v>4840</v>
      </c>
      <c r="M16" s="42" t="s">
        <v>72</v>
      </c>
    </row>
    <row r="17" spans="2:13" ht="21.75" customHeight="1" x14ac:dyDescent="0.25">
      <c r="B17" s="42" t="s">
        <v>73</v>
      </c>
      <c r="C17" s="43" t="s">
        <v>74</v>
      </c>
      <c r="D17" s="42" t="s">
        <v>22</v>
      </c>
      <c r="E17" s="44">
        <v>40</v>
      </c>
      <c r="F17" s="44">
        <v>5</v>
      </c>
      <c r="G17" s="44">
        <v>35</v>
      </c>
      <c r="H17" s="44">
        <v>12</v>
      </c>
      <c r="I17" s="45">
        <v>23</v>
      </c>
      <c r="J17" s="46">
        <v>13.3</v>
      </c>
      <c r="K17" s="44">
        <v>28</v>
      </c>
      <c r="L17" s="47">
        <v>2320</v>
      </c>
      <c r="M17" s="42" t="s">
        <v>72</v>
      </c>
    </row>
    <row r="20" spans="2:13" ht="19.5" customHeight="1" x14ac:dyDescent="0.25">
      <c r="B20" s="69" t="s">
        <v>75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</row>
    <row r="21" spans="2:13" ht="24" customHeight="1" x14ac:dyDescent="0.25">
      <c r="B21" s="48" t="s">
        <v>46</v>
      </c>
      <c r="C21" s="48" t="s">
        <v>47</v>
      </c>
      <c r="D21" s="48" t="s">
        <v>7</v>
      </c>
      <c r="E21" s="48" t="s">
        <v>48</v>
      </c>
      <c r="F21" s="48" t="s">
        <v>49</v>
      </c>
      <c r="G21" s="48" t="s">
        <v>50</v>
      </c>
      <c r="H21" s="48" t="s">
        <v>51</v>
      </c>
      <c r="I21" s="48" t="s">
        <v>52</v>
      </c>
      <c r="J21" s="48" t="s">
        <v>53</v>
      </c>
      <c r="K21" s="48" t="s">
        <v>54</v>
      </c>
      <c r="L21" s="48" t="s">
        <v>55</v>
      </c>
      <c r="M21" s="48" t="s">
        <v>56</v>
      </c>
    </row>
    <row r="22" spans="2:13" ht="18" customHeight="1" x14ac:dyDescent="0.25">
      <c r="B22" s="49" t="s">
        <v>76</v>
      </c>
      <c r="C22" s="49" t="s">
        <v>77</v>
      </c>
      <c r="D22" s="49" t="s">
        <v>16</v>
      </c>
      <c r="E22" s="50">
        <v>29</v>
      </c>
      <c r="F22" s="50">
        <v>1</v>
      </c>
      <c r="G22" s="50">
        <v>28</v>
      </c>
      <c r="H22" s="50">
        <v>13</v>
      </c>
      <c r="I22" s="51">
        <v>15</v>
      </c>
      <c r="J22" s="52">
        <v>26.3</v>
      </c>
      <c r="K22" s="50">
        <v>3</v>
      </c>
      <c r="L22" s="53">
        <v>3422</v>
      </c>
      <c r="M22" s="54" t="s">
        <v>34</v>
      </c>
    </row>
    <row r="23" spans="2:13" ht="18" customHeight="1" x14ac:dyDescent="0.25">
      <c r="B23" s="49" t="s">
        <v>78</v>
      </c>
      <c r="C23" s="49" t="s">
        <v>79</v>
      </c>
      <c r="D23" s="49" t="s">
        <v>14</v>
      </c>
      <c r="E23" s="50">
        <v>14</v>
      </c>
      <c r="F23" s="50">
        <v>1</v>
      </c>
      <c r="G23" s="50">
        <v>13</v>
      </c>
      <c r="H23" s="50">
        <v>12</v>
      </c>
      <c r="I23" s="51">
        <v>1</v>
      </c>
      <c r="J23" s="52">
        <v>21.1</v>
      </c>
      <c r="K23" s="50">
        <v>16</v>
      </c>
      <c r="L23" s="53">
        <v>1848</v>
      </c>
      <c r="M23" s="54" t="s">
        <v>34</v>
      </c>
    </row>
    <row r="24" spans="2:13" ht="18" customHeight="1" x14ac:dyDescent="0.25">
      <c r="B24" s="49" t="s">
        <v>80</v>
      </c>
      <c r="C24" s="49" t="s">
        <v>81</v>
      </c>
      <c r="D24" s="49" t="s">
        <v>14</v>
      </c>
      <c r="E24" s="50">
        <v>21</v>
      </c>
      <c r="F24" s="50">
        <v>2</v>
      </c>
      <c r="G24" s="50">
        <v>19</v>
      </c>
      <c r="H24" s="50">
        <v>12</v>
      </c>
      <c r="I24" s="51">
        <v>7</v>
      </c>
      <c r="J24" s="52">
        <v>18.600000000000001</v>
      </c>
      <c r="K24" s="50">
        <v>5</v>
      </c>
      <c r="L24" s="53">
        <v>3276</v>
      </c>
      <c r="M24" s="54" t="s">
        <v>34</v>
      </c>
    </row>
    <row r="25" spans="2:13" ht="18" customHeight="1" x14ac:dyDescent="0.25">
      <c r="B25" s="49" t="s">
        <v>82</v>
      </c>
      <c r="C25" s="49" t="s">
        <v>83</v>
      </c>
      <c r="D25" s="49" t="s">
        <v>20</v>
      </c>
      <c r="E25" s="50">
        <v>26</v>
      </c>
      <c r="F25" s="50">
        <v>4</v>
      </c>
      <c r="G25" s="50">
        <v>22</v>
      </c>
      <c r="H25" s="50">
        <v>12</v>
      </c>
      <c r="I25" s="51">
        <v>10</v>
      </c>
      <c r="J25" s="52">
        <v>18.3</v>
      </c>
      <c r="K25" s="50">
        <v>3</v>
      </c>
      <c r="L25" s="53">
        <v>3016</v>
      </c>
      <c r="M25" s="54" t="s">
        <v>34</v>
      </c>
    </row>
    <row r="26" spans="2:13" ht="18" customHeight="1" x14ac:dyDescent="0.25">
      <c r="B26" s="49" t="s">
        <v>84</v>
      </c>
      <c r="C26" s="49" t="s">
        <v>85</v>
      </c>
      <c r="D26" s="49" t="s">
        <v>20</v>
      </c>
      <c r="E26" s="50">
        <v>22</v>
      </c>
      <c r="F26" s="50">
        <v>2</v>
      </c>
      <c r="G26" s="50">
        <v>20</v>
      </c>
      <c r="H26" s="50">
        <v>12</v>
      </c>
      <c r="I26" s="51">
        <v>8</v>
      </c>
      <c r="J26" s="52">
        <v>18.100000000000001</v>
      </c>
      <c r="K26" s="50">
        <v>10</v>
      </c>
      <c r="L26" s="53">
        <v>3872</v>
      </c>
      <c r="M26" s="54" t="s">
        <v>34</v>
      </c>
    </row>
    <row r="27" spans="2:13" ht="18" customHeight="1" x14ac:dyDescent="0.25">
      <c r="B27" s="49" t="s">
        <v>86</v>
      </c>
      <c r="C27" s="49" t="s">
        <v>87</v>
      </c>
      <c r="D27" s="49" t="s">
        <v>24</v>
      </c>
      <c r="E27" s="50">
        <v>22</v>
      </c>
      <c r="F27" s="50">
        <v>3</v>
      </c>
      <c r="G27" s="50">
        <v>19</v>
      </c>
      <c r="H27" s="50">
        <v>12</v>
      </c>
      <c r="I27" s="51">
        <v>7</v>
      </c>
      <c r="J27" s="52">
        <v>17.3</v>
      </c>
      <c r="K27" s="50">
        <v>1</v>
      </c>
      <c r="L27" s="53">
        <v>3168</v>
      </c>
      <c r="M27" s="54" t="s">
        <v>34</v>
      </c>
    </row>
    <row r="28" spans="2:13" ht="18" customHeight="1" x14ac:dyDescent="0.25">
      <c r="B28" s="55" t="s">
        <v>88</v>
      </c>
      <c r="C28" s="55" t="s">
        <v>89</v>
      </c>
      <c r="D28" s="55" t="s">
        <v>18</v>
      </c>
      <c r="E28" s="56">
        <v>18</v>
      </c>
      <c r="F28" s="56">
        <v>3</v>
      </c>
      <c r="G28" s="56">
        <v>15</v>
      </c>
      <c r="H28" s="56">
        <v>12</v>
      </c>
      <c r="I28" s="57">
        <v>3</v>
      </c>
      <c r="J28" s="58">
        <v>16.2</v>
      </c>
      <c r="K28" s="56">
        <v>15</v>
      </c>
      <c r="L28" s="59">
        <v>1584</v>
      </c>
      <c r="M28" s="60" t="s">
        <v>34</v>
      </c>
    </row>
    <row r="29" spans="2:13" ht="18" customHeight="1" x14ac:dyDescent="0.25">
      <c r="B29" s="49" t="s">
        <v>90</v>
      </c>
      <c r="C29" s="49" t="s">
        <v>91</v>
      </c>
      <c r="D29" s="49" t="s">
        <v>26</v>
      </c>
      <c r="E29" s="50">
        <v>26</v>
      </c>
      <c r="F29" s="50">
        <v>4</v>
      </c>
      <c r="G29" s="50">
        <v>22</v>
      </c>
      <c r="H29" s="50">
        <v>12</v>
      </c>
      <c r="I29" s="51">
        <v>10</v>
      </c>
      <c r="J29" s="52">
        <v>15.9</v>
      </c>
      <c r="K29" s="50">
        <v>1</v>
      </c>
      <c r="L29" s="53">
        <v>2132</v>
      </c>
      <c r="M29" s="54" t="s">
        <v>34</v>
      </c>
    </row>
    <row r="30" spans="2:13" ht="18" customHeight="1" x14ac:dyDescent="0.25">
      <c r="B30" s="55" t="s">
        <v>92</v>
      </c>
      <c r="C30" s="55" t="s">
        <v>93</v>
      </c>
      <c r="D30" s="55" t="s">
        <v>14</v>
      </c>
      <c r="E30" s="56">
        <v>24</v>
      </c>
      <c r="F30" s="56">
        <v>3</v>
      </c>
      <c r="G30" s="56">
        <v>21</v>
      </c>
      <c r="H30" s="56">
        <v>12</v>
      </c>
      <c r="I30" s="57">
        <v>9</v>
      </c>
      <c r="J30" s="58">
        <v>14</v>
      </c>
      <c r="K30" s="56">
        <v>2</v>
      </c>
      <c r="L30" s="59">
        <v>4752</v>
      </c>
      <c r="M30" s="60" t="s">
        <v>34</v>
      </c>
    </row>
    <row r="31" spans="2:13" ht="18" customHeight="1" x14ac:dyDescent="0.25">
      <c r="B31" s="55" t="s">
        <v>94</v>
      </c>
      <c r="C31" s="55" t="s">
        <v>95</v>
      </c>
      <c r="D31" s="55" t="s">
        <v>22</v>
      </c>
      <c r="E31" s="56">
        <v>27</v>
      </c>
      <c r="F31" s="56">
        <v>1</v>
      </c>
      <c r="G31" s="56">
        <v>26</v>
      </c>
      <c r="H31" s="56">
        <v>12</v>
      </c>
      <c r="I31" s="57">
        <v>14</v>
      </c>
      <c r="J31" s="58">
        <v>11.4</v>
      </c>
      <c r="K31" s="56">
        <v>14</v>
      </c>
      <c r="L31" s="59">
        <v>6102</v>
      </c>
      <c r="M31" s="60" t="s">
        <v>34</v>
      </c>
    </row>
    <row r="32" spans="2:13" ht="18" customHeight="1" x14ac:dyDescent="0.25">
      <c r="B32" s="49" t="s">
        <v>96</v>
      </c>
      <c r="C32" s="49" t="s">
        <v>97</v>
      </c>
      <c r="D32" s="49" t="s">
        <v>18</v>
      </c>
      <c r="E32" s="50">
        <v>14</v>
      </c>
      <c r="F32" s="50">
        <v>2</v>
      </c>
      <c r="G32" s="50">
        <v>12</v>
      </c>
      <c r="H32" s="50">
        <v>12</v>
      </c>
      <c r="I32" s="51">
        <v>0</v>
      </c>
      <c r="J32" s="52">
        <v>11</v>
      </c>
      <c r="K32" s="50">
        <v>15</v>
      </c>
      <c r="L32" s="53">
        <v>1428</v>
      </c>
      <c r="M32" s="54" t="s">
        <v>34</v>
      </c>
    </row>
    <row r="33" spans="2:13" ht="18" customHeight="1" x14ac:dyDescent="0.25">
      <c r="B33" s="55" t="s">
        <v>98</v>
      </c>
      <c r="C33" s="55" t="s">
        <v>99</v>
      </c>
      <c r="D33" s="55" t="s">
        <v>26</v>
      </c>
      <c r="E33" s="56">
        <v>13</v>
      </c>
      <c r="F33" s="56">
        <v>1</v>
      </c>
      <c r="G33" s="56">
        <v>12</v>
      </c>
      <c r="H33" s="56">
        <v>12</v>
      </c>
      <c r="I33" s="57">
        <v>0</v>
      </c>
      <c r="J33" s="58">
        <v>10.9</v>
      </c>
      <c r="K33" s="56">
        <v>11</v>
      </c>
      <c r="L33" s="59">
        <v>1924</v>
      </c>
      <c r="M33" s="60" t="s">
        <v>34</v>
      </c>
    </row>
    <row r="34" spans="2:13" ht="18" customHeight="1" x14ac:dyDescent="0.25">
      <c r="B34" s="55" t="s">
        <v>100</v>
      </c>
      <c r="C34" s="55" t="s">
        <v>101</v>
      </c>
      <c r="D34" s="55" t="s">
        <v>22</v>
      </c>
      <c r="E34" s="56">
        <v>26</v>
      </c>
      <c r="F34" s="56">
        <v>4</v>
      </c>
      <c r="G34" s="56">
        <v>22</v>
      </c>
      <c r="H34" s="56">
        <v>12</v>
      </c>
      <c r="I34" s="57">
        <v>10</v>
      </c>
      <c r="J34" s="58">
        <v>10.4</v>
      </c>
      <c r="K34" s="56">
        <v>14</v>
      </c>
      <c r="L34" s="59">
        <v>1612</v>
      </c>
      <c r="M34" s="60" t="s">
        <v>34</v>
      </c>
    </row>
  </sheetData>
  <mergeCells count="5">
    <mergeCell ref="B2:L2"/>
    <mergeCell ref="B3:L3"/>
    <mergeCell ref="B5:L5"/>
    <mergeCell ref="B13:L13"/>
    <mergeCell ref="B20:L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5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8" customWidth="1"/>
    <col min="3" max="10" width="12" customWidth="1"/>
  </cols>
  <sheetData>
    <row r="1" spans="2:10" ht="7.5" customHeight="1" x14ac:dyDescent="0.25"/>
    <row r="2" spans="2:10" ht="27.75" customHeight="1" x14ac:dyDescent="0.25">
      <c r="B2" s="64" t="s">
        <v>102</v>
      </c>
      <c r="C2" s="64"/>
      <c r="D2" s="64"/>
      <c r="E2" s="64"/>
      <c r="F2" s="64"/>
      <c r="G2" s="64"/>
      <c r="H2" s="64"/>
      <c r="I2" s="64"/>
      <c r="J2" s="64"/>
    </row>
    <row r="5" spans="2:10" ht="21.75" customHeight="1" x14ac:dyDescent="0.25">
      <c r="B5" s="70" t="s">
        <v>103</v>
      </c>
      <c r="C5" s="70"/>
      <c r="D5" s="70"/>
      <c r="E5" s="70"/>
      <c r="F5" s="70"/>
      <c r="G5" s="70"/>
      <c r="H5" s="70"/>
      <c r="I5" s="70"/>
      <c r="J5" s="70"/>
    </row>
    <row r="6" spans="2:10" ht="19.5" customHeight="1" x14ac:dyDescent="0.25">
      <c r="B6" s="61" t="s">
        <v>104</v>
      </c>
      <c r="C6" s="71" t="s">
        <v>105</v>
      </c>
      <c r="D6" s="71"/>
      <c r="E6" s="71"/>
      <c r="F6" s="71"/>
      <c r="G6" s="71"/>
      <c r="H6" s="71"/>
      <c r="I6" s="71"/>
      <c r="J6" s="71"/>
    </row>
    <row r="7" spans="2:10" ht="30" customHeight="1" x14ac:dyDescent="0.25">
      <c r="B7" s="62" t="s">
        <v>106</v>
      </c>
      <c r="C7" s="72" t="s">
        <v>107</v>
      </c>
      <c r="D7" s="72"/>
      <c r="E7" s="72"/>
      <c r="F7" s="72"/>
      <c r="G7" s="72"/>
      <c r="H7" s="72"/>
      <c r="I7" s="72"/>
      <c r="J7" s="72"/>
    </row>
    <row r="8" spans="2:10" ht="30" customHeight="1" x14ac:dyDescent="0.25">
      <c r="B8" s="63" t="s">
        <v>108</v>
      </c>
      <c r="C8" s="73" t="s">
        <v>109</v>
      </c>
      <c r="D8" s="73"/>
      <c r="E8" s="73"/>
      <c r="F8" s="73"/>
      <c r="G8" s="73"/>
      <c r="H8" s="73"/>
      <c r="I8" s="73"/>
      <c r="J8" s="73"/>
    </row>
    <row r="9" spans="2:10" ht="30" customHeight="1" x14ac:dyDescent="0.25">
      <c r="B9" s="62" t="s">
        <v>110</v>
      </c>
      <c r="C9" s="72" t="s">
        <v>111</v>
      </c>
      <c r="D9" s="72"/>
      <c r="E9" s="72"/>
      <c r="F9" s="72"/>
      <c r="G9" s="72"/>
      <c r="H9" s="72"/>
      <c r="I9" s="72"/>
      <c r="J9" s="72"/>
    </row>
    <row r="11" spans="2:10" ht="21.75" customHeight="1" x14ac:dyDescent="0.25">
      <c r="B11" s="70" t="s">
        <v>112</v>
      </c>
      <c r="C11" s="70"/>
      <c r="D11" s="70"/>
      <c r="E11" s="70"/>
      <c r="F11" s="70"/>
      <c r="G11" s="70"/>
      <c r="H11" s="70"/>
      <c r="I11" s="70"/>
      <c r="J11" s="70"/>
    </row>
    <row r="12" spans="2:10" ht="19.5" customHeight="1" x14ac:dyDescent="0.25">
      <c r="B12" s="61" t="s">
        <v>104</v>
      </c>
      <c r="C12" s="71" t="s">
        <v>105</v>
      </c>
      <c r="D12" s="71"/>
      <c r="E12" s="71"/>
      <c r="F12" s="71"/>
      <c r="G12" s="71"/>
      <c r="H12" s="71"/>
      <c r="I12" s="71"/>
      <c r="J12" s="71"/>
    </row>
    <row r="13" spans="2:10" ht="30" customHeight="1" x14ac:dyDescent="0.25">
      <c r="B13" s="62" t="s">
        <v>113</v>
      </c>
      <c r="C13" s="72" t="s">
        <v>114</v>
      </c>
      <c r="D13" s="72"/>
      <c r="E13" s="72"/>
      <c r="F13" s="72"/>
      <c r="G13" s="72"/>
      <c r="H13" s="72"/>
      <c r="I13" s="72"/>
      <c r="J13" s="72"/>
    </row>
    <row r="14" spans="2:10" ht="30" customHeight="1" x14ac:dyDescent="0.25">
      <c r="B14" s="63" t="s">
        <v>115</v>
      </c>
      <c r="C14" s="73" t="s">
        <v>116</v>
      </c>
      <c r="D14" s="73"/>
      <c r="E14" s="73"/>
      <c r="F14" s="73"/>
      <c r="G14" s="73"/>
      <c r="H14" s="73"/>
      <c r="I14" s="73"/>
      <c r="J14" s="73"/>
    </row>
    <row r="15" spans="2:10" ht="30" customHeight="1" x14ac:dyDescent="0.25">
      <c r="B15" s="62" t="s">
        <v>117</v>
      </c>
      <c r="C15" s="72" t="s">
        <v>118</v>
      </c>
      <c r="D15" s="72"/>
      <c r="E15" s="72"/>
      <c r="F15" s="72"/>
      <c r="G15" s="72"/>
      <c r="H15" s="72"/>
      <c r="I15" s="72"/>
      <c r="J15" s="72"/>
    </row>
    <row r="16" spans="2:10" ht="30" customHeight="1" x14ac:dyDescent="0.25">
      <c r="B16" s="63" t="s">
        <v>119</v>
      </c>
      <c r="C16" s="73" t="s">
        <v>120</v>
      </c>
      <c r="D16" s="73"/>
      <c r="E16" s="73"/>
      <c r="F16" s="73"/>
      <c r="G16" s="73"/>
      <c r="H16" s="73"/>
      <c r="I16" s="73"/>
      <c r="J16" s="73"/>
    </row>
    <row r="17" spans="2:10" ht="30" customHeight="1" x14ac:dyDescent="0.25">
      <c r="B17" s="62" t="s">
        <v>121</v>
      </c>
      <c r="C17" s="72" t="s">
        <v>122</v>
      </c>
      <c r="D17" s="72"/>
      <c r="E17" s="72"/>
      <c r="F17" s="72"/>
      <c r="G17" s="72"/>
      <c r="H17" s="72"/>
      <c r="I17" s="72"/>
      <c r="J17" s="72"/>
    </row>
    <row r="19" spans="2:10" ht="21.75" customHeight="1" x14ac:dyDescent="0.25">
      <c r="B19" s="74" t="s">
        <v>123</v>
      </c>
      <c r="C19" s="74"/>
      <c r="D19" s="74"/>
      <c r="E19" s="74"/>
      <c r="F19" s="74"/>
      <c r="G19" s="74"/>
      <c r="H19" s="74"/>
      <c r="I19" s="74"/>
      <c r="J19" s="74"/>
    </row>
    <row r="20" spans="2:10" ht="19.5" customHeight="1" x14ac:dyDescent="0.25">
      <c r="B20" s="61" t="s">
        <v>104</v>
      </c>
      <c r="C20" s="71" t="s">
        <v>105</v>
      </c>
      <c r="D20" s="71"/>
      <c r="E20" s="71"/>
      <c r="F20" s="71"/>
      <c r="G20" s="71"/>
      <c r="H20" s="71"/>
      <c r="I20" s="71"/>
      <c r="J20" s="71"/>
    </row>
    <row r="21" spans="2:10" ht="30" customHeight="1" x14ac:dyDescent="0.25">
      <c r="B21" s="62" t="s">
        <v>124</v>
      </c>
      <c r="C21" s="72" t="s">
        <v>125</v>
      </c>
      <c r="D21" s="72"/>
      <c r="E21" s="72"/>
      <c r="F21" s="72"/>
      <c r="G21" s="72"/>
      <c r="H21" s="72"/>
      <c r="I21" s="72"/>
      <c r="J21" s="72"/>
    </row>
    <row r="22" spans="2:10" ht="30" customHeight="1" x14ac:dyDescent="0.25">
      <c r="B22" s="63" t="s">
        <v>126</v>
      </c>
      <c r="C22" s="73" t="s">
        <v>127</v>
      </c>
      <c r="D22" s="73"/>
      <c r="E22" s="73"/>
      <c r="F22" s="73"/>
      <c r="G22" s="73"/>
      <c r="H22" s="73"/>
      <c r="I22" s="73"/>
      <c r="J22" s="73"/>
    </row>
    <row r="23" spans="2:10" ht="30" customHeight="1" x14ac:dyDescent="0.25">
      <c r="B23" s="62" t="s">
        <v>128</v>
      </c>
      <c r="C23" s="72" t="s">
        <v>129</v>
      </c>
      <c r="D23" s="72"/>
      <c r="E23" s="72"/>
      <c r="F23" s="72"/>
      <c r="G23" s="72"/>
      <c r="H23" s="72"/>
      <c r="I23" s="72"/>
      <c r="J23" s="72"/>
    </row>
    <row r="24" spans="2:10" ht="30" customHeight="1" x14ac:dyDescent="0.25">
      <c r="B24" s="63" t="s">
        <v>130</v>
      </c>
      <c r="C24" s="73" t="s">
        <v>131</v>
      </c>
      <c r="D24" s="73"/>
      <c r="E24" s="73"/>
      <c r="F24" s="73"/>
      <c r="G24" s="73"/>
      <c r="H24" s="73"/>
      <c r="I24" s="73"/>
      <c r="J24" s="73"/>
    </row>
    <row r="25" spans="2:10" ht="30" customHeight="1" x14ac:dyDescent="0.25">
      <c r="B25" s="62" t="s">
        <v>132</v>
      </c>
      <c r="C25" s="72" t="s">
        <v>133</v>
      </c>
      <c r="D25" s="72"/>
      <c r="E25" s="72"/>
      <c r="F25" s="72"/>
      <c r="G25" s="72"/>
      <c r="H25" s="72"/>
      <c r="I25" s="72"/>
      <c r="J25" s="72"/>
    </row>
    <row r="26" spans="2:10" ht="30" customHeight="1" x14ac:dyDescent="0.25">
      <c r="B26" s="63" t="s">
        <v>134</v>
      </c>
      <c r="C26" s="73" t="s">
        <v>135</v>
      </c>
      <c r="D26" s="73"/>
      <c r="E26" s="73"/>
      <c r="F26" s="73"/>
      <c r="G26" s="73"/>
      <c r="H26" s="73"/>
      <c r="I26" s="73"/>
      <c r="J26" s="73"/>
    </row>
    <row r="28" spans="2:10" ht="21.75" customHeight="1" x14ac:dyDescent="0.25">
      <c r="B28" s="75" t="s">
        <v>136</v>
      </c>
      <c r="C28" s="75"/>
      <c r="D28" s="75"/>
      <c r="E28" s="75"/>
      <c r="F28" s="75"/>
      <c r="G28" s="75"/>
      <c r="H28" s="75"/>
      <c r="I28" s="75"/>
      <c r="J28" s="75"/>
    </row>
    <row r="29" spans="2:10" ht="19.5" customHeight="1" x14ac:dyDescent="0.25">
      <c r="B29" s="61" t="s">
        <v>104</v>
      </c>
      <c r="C29" s="71" t="s">
        <v>105</v>
      </c>
      <c r="D29" s="71"/>
      <c r="E29" s="71"/>
      <c r="F29" s="71"/>
      <c r="G29" s="71"/>
      <c r="H29" s="71"/>
      <c r="I29" s="71"/>
      <c r="J29" s="71"/>
    </row>
    <row r="30" spans="2:10" ht="30" customHeight="1" x14ac:dyDescent="0.25">
      <c r="B30" s="62" t="s">
        <v>137</v>
      </c>
      <c r="C30" s="72" t="s">
        <v>138</v>
      </c>
      <c r="D30" s="72"/>
      <c r="E30" s="72"/>
      <c r="F30" s="72"/>
      <c r="G30" s="72"/>
      <c r="H30" s="72"/>
      <c r="I30" s="72"/>
      <c r="J30" s="72"/>
    </row>
    <row r="31" spans="2:10" ht="30" customHeight="1" x14ac:dyDescent="0.25">
      <c r="B31" s="63" t="s">
        <v>139</v>
      </c>
      <c r="C31" s="73" t="s">
        <v>140</v>
      </c>
      <c r="D31" s="73"/>
      <c r="E31" s="73"/>
      <c r="F31" s="73"/>
      <c r="G31" s="73"/>
      <c r="H31" s="73"/>
      <c r="I31" s="73"/>
      <c r="J31" s="73"/>
    </row>
    <row r="32" spans="2:10" ht="30" customHeight="1" x14ac:dyDescent="0.25">
      <c r="B32" s="62" t="s">
        <v>141</v>
      </c>
      <c r="C32" s="72" t="s">
        <v>142</v>
      </c>
      <c r="D32" s="72"/>
      <c r="E32" s="72"/>
      <c r="F32" s="72"/>
      <c r="G32" s="72"/>
      <c r="H32" s="72"/>
      <c r="I32" s="72"/>
      <c r="J32" s="72"/>
    </row>
    <row r="33" spans="2:10" ht="30" customHeight="1" x14ac:dyDescent="0.25">
      <c r="B33" s="63" t="s">
        <v>143</v>
      </c>
      <c r="C33" s="73" t="s">
        <v>144</v>
      </c>
      <c r="D33" s="73"/>
      <c r="E33" s="73"/>
      <c r="F33" s="73"/>
      <c r="G33" s="73"/>
      <c r="H33" s="73"/>
      <c r="I33" s="73"/>
      <c r="J33" s="73"/>
    </row>
    <row r="35" spans="2:10" x14ac:dyDescent="0.25">
      <c r="B35" s="76" t="s">
        <v>145</v>
      </c>
      <c r="C35" s="76"/>
      <c r="D35" s="76"/>
      <c r="E35" s="76"/>
      <c r="F35" s="76"/>
      <c r="G35" s="76"/>
      <c r="H35" s="76"/>
      <c r="I35" s="76"/>
      <c r="J35" s="76"/>
    </row>
  </sheetData>
  <mergeCells count="28">
    <mergeCell ref="C32:J32"/>
    <mergeCell ref="C33:J33"/>
    <mergeCell ref="B35:J35"/>
    <mergeCell ref="C26:J26"/>
    <mergeCell ref="B28:J28"/>
    <mergeCell ref="C29:J29"/>
    <mergeCell ref="C30:J30"/>
    <mergeCell ref="C31:J31"/>
    <mergeCell ref="C21:J21"/>
    <mergeCell ref="C22:J22"/>
    <mergeCell ref="C23:J23"/>
    <mergeCell ref="C24:J24"/>
    <mergeCell ref="C25:J25"/>
    <mergeCell ref="C15:J15"/>
    <mergeCell ref="C16:J16"/>
    <mergeCell ref="C17:J17"/>
    <mergeCell ref="B19:J19"/>
    <mergeCell ref="C20:J20"/>
    <mergeCell ref="C9:J9"/>
    <mergeCell ref="B11:J11"/>
    <mergeCell ref="C12:J12"/>
    <mergeCell ref="C13:J13"/>
    <mergeCell ref="C14:J14"/>
    <mergeCell ref="B2:J2"/>
    <mergeCell ref="B5:J5"/>
    <mergeCell ref="C6:J6"/>
    <mergeCell ref="C7:J7"/>
    <mergeCell ref="C8:J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1. Resumo Executivo</vt:lpstr>
      <vt:lpstr>2. Vendas por Categoria</vt:lpstr>
      <vt:lpstr>3. Campanhas e Descontos</vt:lpstr>
      <vt:lpstr>4. Estoque em Atenção</vt:lpstr>
      <vt:lpstr>5. Premissas e Observações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Henrique Frizo</cp:lastModifiedBy>
  <cp:revision>1</cp:revision>
  <dcterms:created xsi:type="dcterms:W3CDTF">2026-05-17T11:24:43Z</dcterms:created>
  <dcterms:modified xsi:type="dcterms:W3CDTF">2026-05-17T11:41:59Z</dcterms:modified>
  <dc:language>en-US</dc:language>
</cp:coreProperties>
</file>